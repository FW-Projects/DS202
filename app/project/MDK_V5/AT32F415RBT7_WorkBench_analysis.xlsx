
<file path=[Content_Types].xml><?xml version="1.0" encoding="utf-8"?>
<Types xmlns="http://schemas.openxmlformats.org/package/2006/content-types">
  <Default Extension="rels" ContentType="application/vnd.openxmlformats-package.relationships+xml"/>
  <Default Extension="xml" ContentType="application/xml"/>
  <Override PartName="/docProps/app.xml" ContentType="application/vnd.openxmlformats-officedocument.extended-properties+xml"/>
  <Override PartName="/docProps/core.xml" ContentType="application/vnd.openxmlformats-package.core-properties+xml"/>
  <Override PartName="/xl/styles.xml" ContentType="application/vnd.openxmlformats-officedocument.spreadsheetml.styles+xml"/>
  <Override PartName="/xl/theme/theme1.xml" ContentType="application/vnd.openxmlformats-officedocument.theme+xml"/>
  <Override PartName="/xl/workbook.xml" ContentType="application/vnd.openxmlformats-officedocument.spreadsheetml.sheet.main+xml"/>
  <Override PartName="/xl/worksheets/sheet1.xml" ContentType="application/vnd.openxmlformats-officedocument.spreadsheetml.worksheet+xml"/>
  <Override PartName="/xl/worksheets/sheet2.xml" ContentType="application/vnd.openxmlformats-officedocument.spreadsheetml.worksheet+xml"/>
  <Override PartName="/xl/charts/chart1.xml" ContentType="application/vnd.openxmlformats-officedocument.drawingml.chart+xml"/>
  <Override PartName="/xl/charts/chart2.xml" ContentType="application/vnd.openxmlformats-officedocument.drawingml.chart+xml"/>
  <Override PartName="/xl/drawings/drawing1.xml" ContentType="application/vnd.openxmlformats-officedocument.drawing+xml"/>
  <Override PartName="/xl/drawings/drawing2.xml" ContentType="application/vnd.openxmlformats-officedocument.drawing+xml"/>
  <Override PartName="/xl/tables/table1.xml" ContentType="application/vnd.openxmlformats-officedocument.spreadsheetml.table+xml"/>
  <Override PartName="/xl/tables/table2.xml" ContentType="application/vnd.openxmlformats-officedocument.spreadsheetml.table+xml"/>
  <Override PartName="/xl/sharedStrings.xml" ContentType="application/vnd.openxmlformats-officedocument.spreadsheetml.sharedStrings+xml"/>
</Types>
</file>

<file path=_rels/.rels><?xml version="1.0" encoding="UTF-8" standalone="yes"?>
<Relationships xmlns="http://schemas.openxmlformats.org/package/2006/relationships"><Relationship Id="rId1" Type="http://schemas.openxmlformats.org/officeDocument/2006/relationships/officeDocument" Target="xl/workbook.xml"/><Relationship Id="rId2" Type="http://schemas.openxmlformats.org/package/2006/relationships/metadata/core-properties" Target="docProps/core.xml"/><Relationship Id="rId3" Type="http://schemas.openxmlformats.org/officeDocument/2006/relationships/extended-properties" Target="docProps/app.xml"/></Relationships>
</file>

<file path=xl/workbook.xml><?xml version="1.0" encoding="utf-8"?>
<workbook xmlns="http://schemas.openxmlformats.org/spreadsheetml/2006/main" xmlns:r="http://schemas.openxmlformats.org/officeDocument/2006/relationships">
  <fileVersion appName="xl" lastEdited="4" lowestEdited="4" rupBuild="4505"/>
  <workbookPr defaultThemeVersion="124226"/>
  <bookViews>
    <workbookView xWindow="240" yWindow="15" windowWidth="16095" windowHeight="9660"/>
  </bookViews>
  <sheets>
    <sheet name="ram_percent" sheetId="1" r:id="rId1"/>
    <sheet name="flash_percent" sheetId="2" r:id="rId2"/>
  </sheets>
  <calcPr calcId="124519" fullCalcOnLoad="1"/>
</workbook>
</file>

<file path=xl/sharedStrings.xml><?xml version="1.0" encoding="utf-8"?>
<sst xmlns="http://schemas.openxmlformats.org/spreadsheetml/2006/main" count="125" uniqueCount="94">
  <si>
    <t>AT32F415RBT7_WorkBench</t>
  </si>
  <si>
    <t>at32_usart.o</t>
  </si>
  <si>
    <t>eventrecorder.o</t>
  </si>
  <si>
    <t>startup_at32f415.o</t>
  </si>
  <si>
    <t>pc_comm_handle.o</t>
  </si>
  <si>
    <t>ds201_handle.o</t>
  </si>
  <si>
    <t>tmt.o</t>
  </si>
  <si>
    <t>encoderec11.o</t>
  </si>
  <si>
    <t>adc_filter.o</t>
  </si>
  <si>
    <t>pid_handle.o</t>
  </si>
  <si>
    <t>output_handle.o</t>
  </si>
  <si>
    <t>key_handle.o</t>
  </si>
  <si>
    <t>perf_counter.o</t>
  </si>
  <si>
    <t>flash_handle.o</t>
  </si>
  <si>
    <t>led_handle.o</t>
  </si>
  <si>
    <t>ec11_handle.o</t>
  </si>
  <si>
    <t>beep.o</t>
  </si>
  <si>
    <t>at32f415_int.o</t>
  </si>
  <si>
    <t>wk_system.o</t>
  </si>
  <si>
    <t>system_at32f415.o</t>
  </si>
  <si>
    <t>main.o</t>
  </si>
  <si>
    <t>key.o</t>
  </si>
  <si>
    <t>iap.o</t>
  </si>
  <si>
    <t>mf_w.l</t>
  </si>
  <si>
    <t>at32f415_flash.o</t>
  </si>
  <si>
    <t>at32f415_crm.o</t>
  </si>
  <si>
    <t>at32f415_tmr.o</t>
  </si>
  <si>
    <t>at32f415_gpio.o</t>
  </si>
  <si>
    <t>wk_tmr.o</t>
  </si>
  <si>
    <t>mc_w.l</t>
  </si>
  <si>
    <t>at32f415_wk_config.o</t>
  </si>
  <si>
    <t>at32f415_usart.o</t>
  </si>
  <si>
    <t>at32f415_adc.o</t>
  </si>
  <si>
    <t>dadd.o</t>
  </si>
  <si>
    <t>wk_gpio.o</t>
  </si>
  <si>
    <t>at32f415_misc.o</t>
  </si>
  <si>
    <t>at32f415_dma.o</t>
  </si>
  <si>
    <t>dmul.o</t>
  </si>
  <si>
    <t>ddiv.o</t>
  </si>
  <si>
    <t>at32f415_crc.o</t>
  </si>
  <si>
    <t>depilogue.o</t>
  </si>
  <si>
    <t>wk_adc.o</t>
  </si>
  <si>
    <t>util_queue.o</t>
  </si>
  <si>
    <t>fadd.o</t>
  </si>
  <si>
    <t>wk_usart.o</t>
  </si>
  <si>
    <t>fdiv.o</t>
  </si>
  <si>
    <t>perfc_port_default.o</t>
  </si>
  <si>
    <t>fepilogue.o</t>
  </si>
  <si>
    <t>fmul.o</t>
  </si>
  <si>
    <t>uldiv.o</t>
  </si>
  <si>
    <t>ldiv.o</t>
  </si>
  <si>
    <t>__dczerorl2.o</t>
  </si>
  <si>
    <t>at32f415_wdt.o</t>
  </si>
  <si>
    <t>wk_dma.o</t>
  </si>
  <si>
    <t>d2f.o</t>
  </si>
  <si>
    <t>ffixi.o</t>
  </si>
  <si>
    <t>dfixui.o</t>
  </si>
  <si>
    <t>init.o</t>
  </si>
  <si>
    <t>wk_crc.o</t>
  </si>
  <si>
    <t>beep_handle.o</t>
  </si>
  <si>
    <t>ffixui.o</t>
  </si>
  <si>
    <t>cpp_init.o</t>
  </si>
  <si>
    <t>flash.o</t>
  </si>
  <si>
    <t>f2d.o</t>
  </si>
  <si>
    <t>memseta.o</t>
  </si>
  <si>
    <t>llsshr.o</t>
  </si>
  <si>
    <t>llushr.o</t>
  </si>
  <si>
    <t>llshl.o</t>
  </si>
  <si>
    <t>handlers.o</t>
  </si>
  <si>
    <t>fcmplt.o</t>
  </si>
  <si>
    <t>fcmple.o</t>
  </si>
  <si>
    <t>fcmpgt.o</t>
  </si>
  <si>
    <t>fcmpge.o</t>
  </si>
  <si>
    <t>fcmpeq.o</t>
  </si>
  <si>
    <t>wk_wdt.o</t>
  </si>
  <si>
    <t>systick_wrapper_gnu.o</t>
  </si>
  <si>
    <t>dfltui.o</t>
  </si>
  <si>
    <t>fflti.o</t>
  </si>
  <si>
    <t>wk_debug.o</t>
  </si>
  <si>
    <t>ffltui.o</t>
  </si>
  <si>
    <t>entry9a.o</t>
  </si>
  <si>
    <t>entry2.o</t>
  </si>
  <si>
    <t>entry8a.o</t>
  </si>
  <si>
    <t>entry5.o</t>
  </si>
  <si>
    <t>File_name</t>
  </si>
  <si>
    <t>Totals</t>
  </si>
  <si>
    <t>ram_percent</t>
  </si>
  <si>
    <t>ram</t>
  </si>
  <si>
    <t>flash</t>
  </si>
  <si>
    <t>Code</t>
  </si>
  <si>
    <t>RO_data</t>
  </si>
  <si>
    <t>RW_data</t>
  </si>
  <si>
    <t>ZI_data</t>
  </si>
  <si>
    <t>flash_percent</t>
  </si>
</sst>
</file>

<file path=xl/styles.xml><?xml version="1.0" encoding="utf-8"?>
<styleSheet xmlns="http://schemas.openxmlformats.org/spreadsheetml/2006/main">
  <numFmts count="1">
    <numFmt numFmtId="164" formatCode="00.00"/>
  </numFmts>
  <fonts count="1">
    <font>
      <sz val="11"/>
      <color theme="1"/>
      <name val="Calibri"/>
      <family val="2"/>
      <scheme val="minor"/>
    </font>
  </fonts>
  <fills count="2">
    <fill>
      <patternFill patternType="none"/>
    </fill>
    <fill>
      <patternFill patternType="gray125"/>
    </fill>
  </fills>
  <borders count="1">
    <border>
      <left/>
      <right/>
      <top/>
      <bottom/>
      <diagonal/>
    </border>
  </borders>
  <cellStyleXfs count="1">
    <xf numFmtId="0" fontId="0" fillId="0" borderId="0"/>
  </cellStyleXfs>
  <cellXfs count="3">
    <xf numFmtId="0" fontId="0" fillId="0" borderId="0" xfId="0"/>
    <xf numFmtId="0" fontId="0" fillId="0" borderId="0" xfId="0" applyAlignment="1">
      <alignment horizontal="center"/>
    </xf>
    <xf numFmtId="164" fontId="0" fillId="0" borderId="0" xfId="0" applyNumberFormat="1" applyAlignment="1">
      <alignment horizontal="center"/>
    </xf>
  </cellXfs>
  <cellStyles count="1">
    <cellStyle name="Normal" xfId="0" builtinId="0"/>
  </cellStyles>
  <dxfs count="0"/>
  <tableStyles count="0" defaultTableStyle="TableStyleMedium9" defaultPivotStyle="PivotStyleLight16"/>
</styleSheet>
</file>

<file path=xl/_rels/workbook.xml.rels><?xml version="1.0" encoding="UTF-8" standalone="yes"?>
<Relationships xmlns="http://schemas.openxmlformats.org/package/2006/relationships"><Relationship Id="rId1" Type="http://schemas.openxmlformats.org/officeDocument/2006/relationships/worksheet" Target="worksheets/sheet1.xml"/><Relationship Id="rId2" Type="http://schemas.openxmlformats.org/officeDocument/2006/relationships/worksheet" Target="worksheets/sheet2.xml"/><Relationship Id="rId3" Type="http://schemas.openxmlformats.org/officeDocument/2006/relationships/theme" Target="theme/theme1.xml"/><Relationship Id="rId4" Type="http://schemas.openxmlformats.org/officeDocument/2006/relationships/styles" Target="styles.xml"/><Relationship Id="rId5" Type="http://schemas.openxmlformats.org/officeDocument/2006/relationships/sharedStrings" Target="sharedStrings.xml"/></Relationships>
</file>

<file path=xl/charts/chart1.xml><?xml version="1.0" encoding="utf-8"?>
<c:chartSpace xmlns:c="http://schemas.openxmlformats.org/drawingml/2006/chart" xmlns:a="http://schemas.openxmlformats.org/drawingml/2006/main" xmlns:r="http://schemas.openxmlformats.org/officeDocument/2006/relationships">
  <c:lang val="en-US"/>
  <c:chart>
    <c:title>
      <c:tx>
        <c:rich>
          <a:bodyPr/>
          <a:lstStyle/>
          <a:p>
            <a:pPr>
              <a:defRPr/>
            </a:pPr>
            <a:r>
              <a:rPr lang="en-US"/>
              <a:t>file percent in used ram </a:t>
            </a:r>
          </a:p>
        </c:rich>
      </c:tx>
      <c:layout/>
    </c:title>
    <c:plotArea>
      <c:layout/>
      <c:pieChart>
        <c:varyColors val="1"/>
        <c:ser>
          <c:idx val="0"/>
          <c:order val="0"/>
          <c:tx>
            <c:v>piechart_ram</c:v>
          </c:tx>
          <c:cat>
            <c:strRef>
              <c:f>ram_percent!$A$3:$A$86</c:f>
              <c:strCache>
                <c:ptCount val="84"/>
                <c:pt idx="0">
                  <c:v>at32_usart.o</c:v>
                </c:pt>
                <c:pt idx="1">
                  <c:v>eventrecorder.o</c:v>
                </c:pt>
                <c:pt idx="2">
                  <c:v>startup_at32f415.o</c:v>
                </c:pt>
                <c:pt idx="3">
                  <c:v>pc_comm_handle.o</c:v>
                </c:pt>
                <c:pt idx="4">
                  <c:v>ds201_handle.o</c:v>
                </c:pt>
                <c:pt idx="5">
                  <c:v>tmt.o</c:v>
                </c:pt>
                <c:pt idx="6">
                  <c:v>encoderec11.o</c:v>
                </c:pt>
                <c:pt idx="7">
                  <c:v>adc_filter.o</c:v>
                </c:pt>
                <c:pt idx="8">
                  <c:v>pid_handle.o</c:v>
                </c:pt>
                <c:pt idx="9">
                  <c:v>output_handle.o</c:v>
                </c:pt>
                <c:pt idx="10">
                  <c:v>key_handle.o</c:v>
                </c:pt>
                <c:pt idx="11">
                  <c:v>perf_counter.o</c:v>
                </c:pt>
                <c:pt idx="12">
                  <c:v>flash_handle.o</c:v>
                </c:pt>
                <c:pt idx="13">
                  <c:v>led_handle.o</c:v>
                </c:pt>
                <c:pt idx="14">
                  <c:v>ec11_handle.o</c:v>
                </c:pt>
                <c:pt idx="15">
                  <c:v>beep.o</c:v>
                </c:pt>
                <c:pt idx="16">
                  <c:v>at32f415_int.o</c:v>
                </c:pt>
                <c:pt idx="17">
                  <c:v>wk_system.o</c:v>
                </c:pt>
                <c:pt idx="18">
                  <c:v>system_at32f415.o</c:v>
                </c:pt>
                <c:pt idx="19">
                  <c:v>main.o</c:v>
                </c:pt>
                <c:pt idx="20">
                  <c:v>key.o</c:v>
                </c:pt>
                <c:pt idx="21">
                  <c:v>iap.o</c:v>
                </c:pt>
                <c:pt idx="83">
                  <c:v>Totals</c:v>
                </c:pt>
              </c:strCache>
            </c:strRef>
          </c:cat>
          <c:val>
            <c:numRef>
              <c:f>ram_percent!$B$3:$B$86</c:f>
              <c:numCache>
                <c:formatCode>General</c:formatCode>
                <c:ptCount val="84"/>
                <c:pt idx="0">
                  <c:v>35.06452560424805</c:v>
                </c:pt>
                <c:pt idx="1">
                  <c:v>18.69688415527344</c:v>
                </c:pt>
                <c:pt idx="2">
                  <c:v>16.1158332824707</c:v>
                </c:pt>
                <c:pt idx="3">
                  <c:v>8.467107772827148</c:v>
                </c:pt>
                <c:pt idx="4">
                  <c:v>4.469625473022461</c:v>
                </c:pt>
                <c:pt idx="5">
                  <c:v>3.462385892868042</c:v>
                </c:pt>
                <c:pt idx="6">
                  <c:v>2.675480127334595</c:v>
                </c:pt>
                <c:pt idx="7">
                  <c:v>2.266288995742798</c:v>
                </c:pt>
                <c:pt idx="8">
                  <c:v>2.077431440353394</c:v>
                </c:pt>
                <c:pt idx="9">
                  <c:v>1.841359734535217</c:v>
                </c:pt>
                <c:pt idx="10">
                  <c:v>1.652502417564392</c:v>
                </c:pt>
                <c:pt idx="11">
                  <c:v>1.259049415588379</c:v>
                </c:pt>
                <c:pt idx="12">
                  <c:v>0.6610009670257568</c:v>
                </c:pt>
                <c:pt idx="13">
                  <c:v>0.3462385833263397</c:v>
                </c:pt>
                <c:pt idx="14">
                  <c:v>0.299024224281311</c:v>
                </c:pt>
                <c:pt idx="15">
                  <c:v>0.267547994852066</c:v>
                </c:pt>
                <c:pt idx="16">
                  <c:v>0.1888574063777924</c:v>
                </c:pt>
                <c:pt idx="17">
                  <c:v>0.06295247375965118</c:v>
                </c:pt>
                <c:pt idx="18">
                  <c:v>0.06295247375965118</c:v>
                </c:pt>
                <c:pt idx="19">
                  <c:v>0.03147623687982559</c:v>
                </c:pt>
                <c:pt idx="20">
                  <c:v>0.0157381184399128</c:v>
                </c:pt>
                <c:pt idx="21">
                  <c:v>0.0157381184399128</c:v>
                </c:pt>
                <c:pt idx="83">
                  <c:v>0</c:v>
                </c:pt>
              </c:numCache>
            </c:numRef>
          </c:val>
        </c:ser>
        <c:firstSliceAng val="90"/>
      </c:pieChart>
    </c:plotArea>
    <c:legend>
      <c:legendPos val="r"/>
      <c:layout/>
      <c:txPr>
        <a:bodyPr/>
        <a:lstStyle/>
        <a:p>
          <a:pPr rtl="0">
            <a:defRPr/>
          </a:pPr>
          <a:endParaRPr lang="en-US"/>
        </a:p>
      </c:txPr>
    </c:legend>
    <c:plotVisOnly val="1"/>
  </c:chart>
  <c:printSettings>
    <c:headerFooter/>
    <c:pageMargins b="0.75" l="0.7" r="0.7" t="0.75" header="0.3" footer="0.3"/>
    <c:pageSetup/>
  </c:printSettings>
</c:chartSpace>
</file>

<file path=xl/charts/chart2.xml><?xml version="1.0" encoding="utf-8"?>
<c:chartSpace xmlns:c="http://schemas.openxmlformats.org/drawingml/2006/chart" xmlns:a="http://schemas.openxmlformats.org/drawingml/2006/main" xmlns:r="http://schemas.openxmlformats.org/officeDocument/2006/relationships">
  <c:lang val="en-US"/>
  <c:chart>
    <c:title>
      <c:tx>
        <c:rich>
          <a:bodyPr/>
          <a:lstStyle/>
          <a:p>
            <a:pPr>
              <a:defRPr/>
            </a:pPr>
            <a:r>
              <a:rPr lang="en-US"/>
              <a:t>file percent in used flash </a:t>
            </a:r>
          </a:p>
        </c:rich>
      </c:tx>
      <c:layout/>
    </c:title>
    <c:plotArea>
      <c:layout/>
      <c:pieChart>
        <c:varyColors val="1"/>
        <c:ser>
          <c:idx val="0"/>
          <c:order val="0"/>
          <c:tx>
            <c:v>piechart_flash</c:v>
          </c:tx>
          <c:cat>
            <c:strRef>
              <c:f>flash_percent!$A$3:$A$86</c:f>
              <c:strCache>
                <c:ptCount val="84"/>
                <c:pt idx="0">
                  <c:v>ec11_handle.o</c:v>
                </c:pt>
                <c:pt idx="1">
                  <c:v>eventrecorder.o</c:v>
                </c:pt>
                <c:pt idx="2">
                  <c:v>flash_handle.o</c:v>
                </c:pt>
                <c:pt idx="3">
                  <c:v>output_handle.o</c:v>
                </c:pt>
                <c:pt idx="4">
                  <c:v>led_handle.o</c:v>
                </c:pt>
                <c:pt idx="5">
                  <c:v>mf_w.l</c:v>
                </c:pt>
                <c:pt idx="6">
                  <c:v>at32f415_flash.o</c:v>
                </c:pt>
                <c:pt idx="7">
                  <c:v>at32f415_crm.o</c:v>
                </c:pt>
                <c:pt idx="8">
                  <c:v>key_handle.o</c:v>
                </c:pt>
                <c:pt idx="9">
                  <c:v>encoderec11.o</c:v>
                </c:pt>
                <c:pt idx="10">
                  <c:v>tmt.o</c:v>
                </c:pt>
                <c:pt idx="11">
                  <c:v>at32_usart.o</c:v>
                </c:pt>
                <c:pt idx="12">
                  <c:v>at32f415_tmr.o</c:v>
                </c:pt>
                <c:pt idx="13">
                  <c:v>perf_counter.o</c:v>
                </c:pt>
                <c:pt idx="14">
                  <c:v>at32f415_gpio.o</c:v>
                </c:pt>
                <c:pt idx="15">
                  <c:v>wk_tmr.o</c:v>
                </c:pt>
                <c:pt idx="16">
                  <c:v>main.o</c:v>
                </c:pt>
                <c:pt idx="17">
                  <c:v>mc_w.l</c:v>
                </c:pt>
                <c:pt idx="18">
                  <c:v>at32f415_int.o</c:v>
                </c:pt>
                <c:pt idx="19">
                  <c:v>at32f415_wk_config.o</c:v>
                </c:pt>
                <c:pt idx="20">
                  <c:v>pc_comm_handle.o</c:v>
                </c:pt>
                <c:pt idx="21">
                  <c:v>startup_at32f415.o</c:v>
                </c:pt>
                <c:pt idx="22">
                  <c:v>system_at32f415.o</c:v>
                </c:pt>
                <c:pt idx="23">
                  <c:v>at32f415_usart.o</c:v>
                </c:pt>
                <c:pt idx="24">
                  <c:v>at32f415_adc.o</c:v>
                </c:pt>
                <c:pt idx="25">
                  <c:v>dadd.o</c:v>
                </c:pt>
                <c:pt idx="26">
                  <c:v>wk_gpio.o</c:v>
                </c:pt>
                <c:pt idx="27">
                  <c:v>pid_handle.o</c:v>
                </c:pt>
                <c:pt idx="28">
                  <c:v>adc_filter.o</c:v>
                </c:pt>
                <c:pt idx="29">
                  <c:v>at32f415_misc.o</c:v>
                </c:pt>
                <c:pt idx="30">
                  <c:v>at32f415_dma.o</c:v>
                </c:pt>
                <c:pt idx="31">
                  <c:v>dmul.o</c:v>
                </c:pt>
                <c:pt idx="32">
                  <c:v>ddiv.o</c:v>
                </c:pt>
                <c:pt idx="33">
                  <c:v>at32f415_crc.o</c:v>
                </c:pt>
                <c:pt idx="34">
                  <c:v>ds201_handle.o</c:v>
                </c:pt>
                <c:pt idx="35">
                  <c:v>beep.o</c:v>
                </c:pt>
                <c:pt idx="36">
                  <c:v>depilogue.o</c:v>
                </c:pt>
                <c:pt idx="37">
                  <c:v>wk_adc.o</c:v>
                </c:pt>
                <c:pt idx="38">
                  <c:v>util_queue.o</c:v>
                </c:pt>
                <c:pt idx="39">
                  <c:v>fadd.o</c:v>
                </c:pt>
                <c:pt idx="40">
                  <c:v>key.o</c:v>
                </c:pt>
                <c:pt idx="41">
                  <c:v>wk_usart.o</c:v>
                </c:pt>
                <c:pt idx="42">
                  <c:v>fdiv.o</c:v>
                </c:pt>
                <c:pt idx="43">
                  <c:v>perfc_port_default.o</c:v>
                </c:pt>
                <c:pt idx="44">
                  <c:v>fepilogue.o</c:v>
                </c:pt>
                <c:pt idx="45">
                  <c:v>iap.o</c:v>
                </c:pt>
                <c:pt idx="46">
                  <c:v>fmul.o</c:v>
                </c:pt>
                <c:pt idx="47">
                  <c:v>uldiv.o</c:v>
                </c:pt>
                <c:pt idx="48">
                  <c:v>ldiv.o</c:v>
                </c:pt>
                <c:pt idx="49">
                  <c:v>__dczerorl2.o</c:v>
                </c:pt>
                <c:pt idx="50">
                  <c:v>wk_system.o</c:v>
                </c:pt>
                <c:pt idx="51">
                  <c:v>at32f415_wdt.o</c:v>
                </c:pt>
                <c:pt idx="52">
                  <c:v>wk_dma.o</c:v>
                </c:pt>
                <c:pt idx="53">
                  <c:v>d2f.o</c:v>
                </c:pt>
                <c:pt idx="54">
                  <c:v>ffixi.o</c:v>
                </c:pt>
                <c:pt idx="55">
                  <c:v>dfixui.o</c:v>
                </c:pt>
                <c:pt idx="56">
                  <c:v>init.o</c:v>
                </c:pt>
                <c:pt idx="57">
                  <c:v>wk_crc.o</c:v>
                </c:pt>
                <c:pt idx="58">
                  <c:v>beep_handle.o</c:v>
                </c:pt>
                <c:pt idx="59">
                  <c:v>ffixui.o</c:v>
                </c:pt>
                <c:pt idx="60">
                  <c:v>cpp_init.o</c:v>
                </c:pt>
                <c:pt idx="61">
                  <c:v>flash.o</c:v>
                </c:pt>
                <c:pt idx="62">
                  <c:v>f2d.o</c:v>
                </c:pt>
                <c:pt idx="63">
                  <c:v>memseta.o</c:v>
                </c:pt>
                <c:pt idx="64">
                  <c:v>llsshr.o</c:v>
                </c:pt>
                <c:pt idx="65">
                  <c:v>llushr.o</c:v>
                </c:pt>
                <c:pt idx="66">
                  <c:v>llshl.o</c:v>
                </c:pt>
                <c:pt idx="67">
                  <c:v>handlers.o</c:v>
                </c:pt>
                <c:pt idx="68">
                  <c:v>fcmplt.o</c:v>
                </c:pt>
                <c:pt idx="69">
                  <c:v>fcmple.o</c:v>
                </c:pt>
                <c:pt idx="70">
                  <c:v>fcmpgt.o</c:v>
                </c:pt>
                <c:pt idx="71">
                  <c:v>fcmpge.o</c:v>
                </c:pt>
                <c:pt idx="72">
                  <c:v>fcmpeq.o</c:v>
                </c:pt>
                <c:pt idx="73">
                  <c:v>wk_wdt.o</c:v>
                </c:pt>
                <c:pt idx="74">
                  <c:v>systick_wrapper_gnu.o</c:v>
                </c:pt>
                <c:pt idx="75">
                  <c:v>dfltui.o</c:v>
                </c:pt>
                <c:pt idx="76">
                  <c:v>fflti.o</c:v>
                </c:pt>
                <c:pt idx="77">
                  <c:v>wk_debug.o</c:v>
                </c:pt>
                <c:pt idx="78">
                  <c:v>ffltui.o</c:v>
                </c:pt>
                <c:pt idx="79">
                  <c:v>entry9a.o</c:v>
                </c:pt>
                <c:pt idx="80">
                  <c:v>entry2.o</c:v>
                </c:pt>
                <c:pt idx="81">
                  <c:v>entry8a.o</c:v>
                </c:pt>
                <c:pt idx="82">
                  <c:v>entry5.o</c:v>
                </c:pt>
                <c:pt idx="83">
                  <c:v>Totals</c:v>
                </c:pt>
              </c:strCache>
            </c:strRef>
          </c:cat>
          <c:val>
            <c:numRef>
              <c:f>flash_percent!$B$3:$B$86</c:f>
              <c:numCache>
                <c:formatCode>General</c:formatCode>
                <c:ptCount val="84"/>
                <c:pt idx="0">
                  <c:v>12.10966682434082</c:v>
                </c:pt>
                <c:pt idx="1">
                  <c:v>12.0530309677124</c:v>
                </c:pt>
                <c:pt idx="2">
                  <c:v>9.617711067199707</c:v>
                </c:pt>
                <c:pt idx="3">
                  <c:v>7.800231456756592</c:v>
                </c:pt>
                <c:pt idx="4">
                  <c:v>7.697258472442627</c:v>
                </c:pt>
                <c:pt idx="5">
                  <c:v>4.911828994750977</c:v>
                </c:pt>
                <c:pt idx="6">
                  <c:v>3.156133413314819</c:v>
                </c:pt>
                <c:pt idx="7">
                  <c:v>2.574333906173706</c:v>
                </c:pt>
                <c:pt idx="8">
                  <c:v>2.332346439361572</c:v>
                </c:pt>
                <c:pt idx="9">
                  <c:v>2.19848108291626</c:v>
                </c:pt>
                <c:pt idx="10">
                  <c:v>2.038872480392456</c:v>
                </c:pt>
                <c:pt idx="11">
                  <c:v>1.786587715148926</c:v>
                </c:pt>
                <c:pt idx="12">
                  <c:v>1.709357738494873</c:v>
                </c:pt>
                <c:pt idx="13">
                  <c:v>1.683614373207092</c:v>
                </c:pt>
                <c:pt idx="14">
                  <c:v>1.54974901676178</c:v>
                </c:pt>
                <c:pt idx="15">
                  <c:v>1.503410935401917</c:v>
                </c:pt>
                <c:pt idx="16">
                  <c:v>1.477667689323425</c:v>
                </c:pt>
                <c:pt idx="17">
                  <c:v>1.43647825717926</c:v>
                </c:pt>
                <c:pt idx="18">
                  <c:v>1.369545578956604</c:v>
                </c:pt>
                <c:pt idx="19">
                  <c:v>1.050328254699707</c:v>
                </c:pt>
                <c:pt idx="20">
                  <c:v>1.047753930091858</c:v>
                </c:pt>
                <c:pt idx="21">
                  <c:v>1.040030837059021</c:v>
                </c:pt>
                <c:pt idx="22">
                  <c:v>1.029733538627625</c:v>
                </c:pt>
                <c:pt idx="23">
                  <c:v>1.003990173339844</c:v>
                </c:pt>
                <c:pt idx="24">
                  <c:v>0.9113141894340515</c:v>
                </c:pt>
                <c:pt idx="25">
                  <c:v>0.8598275184631348</c:v>
                </c:pt>
                <c:pt idx="26">
                  <c:v>0.8495301604270935</c:v>
                </c:pt>
                <c:pt idx="27">
                  <c:v>0.7620028257369995</c:v>
                </c:pt>
                <c:pt idx="28">
                  <c:v>0.6693267822265625</c:v>
                </c:pt>
                <c:pt idx="29">
                  <c:v>0.6178401112556458</c:v>
                </c:pt>
                <c:pt idx="30">
                  <c:v>0.6126914620399475</c:v>
                </c:pt>
                <c:pt idx="31">
                  <c:v>0.5869481563568115</c:v>
                </c:pt>
                <c:pt idx="32">
                  <c:v>0.571502149105072</c:v>
                </c:pt>
                <c:pt idx="33">
                  <c:v>0.571502149105072</c:v>
                </c:pt>
                <c:pt idx="34">
                  <c:v>0.5560561418533325</c:v>
                </c:pt>
                <c:pt idx="35">
                  <c:v>0.5225898027420044</c:v>
                </c:pt>
                <c:pt idx="36">
                  <c:v>0.478826105594635</c:v>
                </c:pt>
                <c:pt idx="37">
                  <c:v>0.4685287773609161</c:v>
                </c:pt>
                <c:pt idx="38">
                  <c:v>0.4582314193248749</c:v>
                </c:pt>
                <c:pt idx="39">
                  <c:v>0.4530827701091766</c:v>
                </c:pt>
                <c:pt idx="40">
                  <c:v>0.4144677519798279</c:v>
                </c:pt>
                <c:pt idx="41">
                  <c:v>0.4015960991382599</c:v>
                </c:pt>
                <c:pt idx="42">
                  <c:v>0.3192174136638641</c:v>
                </c:pt>
                <c:pt idx="43">
                  <c:v>0.3140687346458435</c:v>
                </c:pt>
                <c:pt idx="44">
                  <c:v>0.2831767201423645</c:v>
                </c:pt>
                <c:pt idx="45">
                  <c:v>0.2728793919086456</c:v>
                </c:pt>
                <c:pt idx="46">
                  <c:v>0.2574333846569061</c:v>
                </c:pt>
                <c:pt idx="47">
                  <c:v>0.2522847354412079</c:v>
                </c:pt>
                <c:pt idx="48">
                  <c:v>0.2522847354412079</c:v>
                </c:pt>
                <c:pt idx="49">
                  <c:v>0.2213927209377289</c:v>
                </c:pt>
                <c:pt idx="50">
                  <c:v>0.2162440419197083</c:v>
                </c:pt>
                <c:pt idx="51">
                  <c:v>0.1699060350656509</c:v>
                </c:pt>
                <c:pt idx="52">
                  <c:v>0.1647573709487915</c:v>
                </c:pt>
                <c:pt idx="53">
                  <c:v>0.1441626995801926</c:v>
                </c:pt>
                <c:pt idx="54">
                  <c:v>0.1287166923284531</c:v>
                </c:pt>
                <c:pt idx="55">
                  <c:v>0.1287166923284531</c:v>
                </c:pt>
                <c:pt idx="56">
                  <c:v>0.1235680282115936</c:v>
                </c:pt>
                <c:pt idx="57">
                  <c:v>0.1235680282115936</c:v>
                </c:pt>
                <c:pt idx="58">
                  <c:v>0.1132706925272942</c:v>
                </c:pt>
                <c:pt idx="59">
                  <c:v>0.1029733568429947</c:v>
                </c:pt>
                <c:pt idx="60">
                  <c:v>0.1029733568429947</c:v>
                </c:pt>
                <c:pt idx="61">
                  <c:v>0.1029733568429947</c:v>
                </c:pt>
                <c:pt idx="62">
                  <c:v>0.09782468527555466</c:v>
                </c:pt>
                <c:pt idx="63">
                  <c:v>0.09267602115869522</c:v>
                </c:pt>
                <c:pt idx="64">
                  <c:v>0.09267602115869522</c:v>
                </c:pt>
                <c:pt idx="65">
                  <c:v>0.08237868547439575</c:v>
                </c:pt>
                <c:pt idx="66">
                  <c:v>0.07723001390695572</c:v>
                </c:pt>
                <c:pt idx="67">
                  <c:v>0.07723001390695572</c:v>
                </c:pt>
                <c:pt idx="68">
                  <c:v>0.07208134979009628</c:v>
                </c:pt>
                <c:pt idx="69">
                  <c:v>0.07208134979009628</c:v>
                </c:pt>
                <c:pt idx="70">
                  <c:v>0.07208134979009628</c:v>
                </c:pt>
                <c:pt idx="71">
                  <c:v>0.07208134979009628</c:v>
                </c:pt>
                <c:pt idx="72">
                  <c:v>0.07208134979009628</c:v>
                </c:pt>
                <c:pt idx="73">
                  <c:v>0.07208134979009628</c:v>
                </c:pt>
                <c:pt idx="74">
                  <c:v>0.07208134979009628</c:v>
                </c:pt>
                <c:pt idx="75">
                  <c:v>0.06693267822265625</c:v>
                </c:pt>
                <c:pt idx="76">
                  <c:v>0.04633801057934761</c:v>
                </c:pt>
                <c:pt idx="77">
                  <c:v>0.03604067489504814</c:v>
                </c:pt>
                <c:pt idx="78">
                  <c:v>0.02574333921074867</c:v>
                </c:pt>
                <c:pt idx="79">
                  <c:v>0.02059467136859894</c:v>
                </c:pt>
                <c:pt idx="80">
                  <c:v>0.02059467136859894</c:v>
                </c:pt>
                <c:pt idx="81">
                  <c:v>0.01029733568429947</c:v>
                </c:pt>
                <c:pt idx="82">
                  <c:v>0.01029733568429947</c:v>
                </c:pt>
                <c:pt idx="83">
                  <c:v>0</c:v>
                </c:pt>
              </c:numCache>
            </c:numRef>
          </c:val>
        </c:ser>
        <c:firstSliceAng val="90"/>
      </c:pieChart>
    </c:plotArea>
    <c:legend>
      <c:legendPos val="r"/>
      <c:layout/>
      <c:txPr>
        <a:bodyPr/>
        <a:lstStyle/>
        <a:p>
          <a:pPr rtl="0">
            <a:defRPr/>
          </a:pPr>
          <a:endParaRPr lang="en-US"/>
        </a:p>
      </c:txPr>
    </c:legend>
    <c:plotVisOnly val="1"/>
  </c:chart>
  <c:printSettings>
    <c:headerFooter/>
    <c:pageMargins b="0.75" l="0.7" r="0.7" t="0.75" header="0.3" footer="0.3"/>
    <c:pageSetup/>
  </c:printSettings>
</c:chartSpace>
</file>

<file path=xl/drawings/_rels/drawing1.xml.rels><?xml version="1.0" encoding="UTF-8" standalone="yes"?>
<Relationships xmlns="http://schemas.openxmlformats.org/package/2006/relationships"><Relationship Id="rId1" Type="http://schemas.openxmlformats.org/officeDocument/2006/relationships/chart" Target="../charts/chart1.xml"/></Relationships>
</file>

<file path=xl/drawings/_rels/drawing2.xml.rels><?xml version="1.0" encoding="UTF-8" standalone="yes"?>
<Relationships xmlns="http://schemas.openxmlformats.org/package/2006/relationships"><Relationship Id="rId1" Type="http://schemas.openxmlformats.org/officeDocument/2006/relationships/chart" Target="../charts/chart2.xml"/></Relationships>
</file>

<file path=xl/drawings/drawing1.xml><?xml version="1.0" encoding="utf-8"?>
<xdr:wsDr xmlns:xdr="http://schemas.openxmlformats.org/drawingml/2006/spreadsheetDrawing" xmlns:a="http://schemas.openxmlformats.org/drawingml/2006/main">
  <xdr:twoCellAnchor>
    <xdr:from>
      <xdr:col>8</xdr:col>
      <xdr:colOff>0</xdr:colOff>
      <xdr:row>1</xdr:row>
      <xdr:rowOff>0</xdr:rowOff>
    </xdr:from>
    <xdr:to>
      <xdr:col>15</xdr:col>
      <xdr:colOff>304800</xdr:colOff>
      <xdr:row>15</xdr:row>
      <xdr:rowOff>76200</xdr:rowOff>
    </xdr:to>
    <xdr:graphicFrame macro="">
      <xdr:nvGraphicFramePr>
        <xdr:cNvPr id="2" name="Chart 1"/>
        <xdr:cNvGraphicFramePr/>
      </xdr:nvGraphicFramePr>
      <xdr:xfrm>
        <a:off x="0" y="0"/>
        <a:ext cx="0" cy="0"/>
      </xdr:xfrm>
      <a:graphic>
        <a:graphicData uri="http://schemas.openxmlformats.org/drawingml/2006/chart">
          <c:chart xmlns:c="http://schemas.openxmlformats.org/drawingml/2006/chart" xmlns:r="http://schemas.openxmlformats.org/officeDocument/2006/relationships" r:id="rId1"/>
        </a:graphicData>
      </a:graphic>
    </xdr:graphicFrame>
    <xdr:clientData/>
  </xdr:twoCellAnchor>
</xdr:wsDr>
</file>

<file path=xl/drawings/drawing2.xml><?xml version="1.0" encoding="utf-8"?>
<xdr:wsDr xmlns:xdr="http://schemas.openxmlformats.org/drawingml/2006/spreadsheetDrawing" xmlns:a="http://schemas.openxmlformats.org/drawingml/2006/main">
  <xdr:twoCellAnchor>
    <xdr:from>
      <xdr:col>8</xdr:col>
      <xdr:colOff>0</xdr:colOff>
      <xdr:row>1</xdr:row>
      <xdr:rowOff>0</xdr:rowOff>
    </xdr:from>
    <xdr:to>
      <xdr:col>15</xdr:col>
      <xdr:colOff>304800</xdr:colOff>
      <xdr:row>15</xdr:row>
      <xdr:rowOff>76200</xdr:rowOff>
    </xdr:to>
    <xdr:graphicFrame macro="">
      <xdr:nvGraphicFramePr>
        <xdr:cNvPr id="2" name="Chart 1"/>
        <xdr:cNvGraphicFramePr/>
      </xdr:nvGraphicFramePr>
      <xdr:xfrm>
        <a:off x="0" y="0"/>
        <a:ext cx="0" cy="0"/>
      </xdr:xfrm>
      <a:graphic>
        <a:graphicData uri="http://schemas.openxmlformats.org/drawingml/2006/chart">
          <c:chart xmlns:c="http://schemas.openxmlformats.org/drawingml/2006/chart" xmlns:r="http://schemas.openxmlformats.org/officeDocument/2006/relationships" r:id="rId1"/>
        </a:graphicData>
      </a:graphic>
    </xdr:graphicFrame>
    <xdr:clientData/>
  </xdr:twoCellAnchor>
</xdr:wsDr>
</file>

<file path=xl/tables/table1.xml><?xml version="1.0" encoding="utf-8"?>
<table xmlns="http://schemas.openxmlformats.org/spreadsheetml/2006/main" id="1" name="Table1" displayName="Table1" ref="A2:H86" totalsRowCount="1">
  <autoFilter ref="A2:H85"/>
  <tableColumns count="8">
    <tableColumn id="1" name="File_name" totalsRowLabel="Totals"/>
    <tableColumn id="2" name="ram_percent" totalsRowFunction="sum"/>
    <tableColumn id="3" name="ram" totalsRowFunction="sum"/>
    <tableColumn id="4" name="flash" totalsRowFunction="sum"/>
    <tableColumn id="5" name="Code" totalsRowFunction="sum"/>
    <tableColumn id="6" name="RO_data" totalsRowFunction="sum"/>
    <tableColumn id="7" name="RW_data" totalsRowFunction="sum"/>
    <tableColumn id="8" name="ZI_data" totalsRowFunction="sum"/>
  </tableColumns>
  <tableStyleInfo name="TableStyleLight11" showFirstColumn="0" showLastColumn="0" showRowStripes="1" showColumnStripes="0"/>
</table>
</file>

<file path=xl/tables/table2.xml><?xml version="1.0" encoding="utf-8"?>
<table xmlns="http://schemas.openxmlformats.org/spreadsheetml/2006/main" id="2" name="Table2" displayName="Table2" ref="A2:H86" totalsRowCount="1">
  <autoFilter ref="A2:H85"/>
  <tableColumns count="8">
    <tableColumn id="1" name="File_name" totalsRowLabel="Totals"/>
    <tableColumn id="2" name="flash_percent" totalsRowFunction="sum"/>
    <tableColumn id="3" name="flash" totalsRowFunction="sum"/>
    <tableColumn id="4" name="ram" totalsRowFunction="sum"/>
    <tableColumn id="5" name="Code" totalsRowFunction="sum"/>
    <tableColumn id="6" name="RO_data" totalsRowFunction="sum"/>
    <tableColumn id="7" name="RW_data" totalsRowFunction="sum"/>
    <tableColumn id="8" name="ZI_data" totalsRowFunction="sum"/>
  </tableColumns>
  <tableStyleInfo name="TableStyleLight11" showFirstColumn="0" showLastColumn="0" showRowStripes="1" showColumnStripes="0"/>
</table>
</file>

<file path=xl/theme/theme1.xml><?xml version="1.0" encoding="utf-8"?>
<a:theme xmlns:a="http://schemas.openxmlformats.org/drawingml/2006/main" name="Office Theme">
  <a:themeElements>
    <a:clrScheme name="Office">
      <a:dk1>
        <a:sysClr val="windowText" lastClr="000000"/>
      </a:dk1>
      <a:lt1>
        <a:sysClr val="window" lastClr="FFFFFF"/>
      </a:lt1>
      <a:dk2>
        <a:srgbClr val="1F497D"/>
      </a:dk2>
      <a:lt2>
        <a:srgbClr val="EEECE1"/>
      </a:lt2>
      <a:accent1>
        <a:srgbClr val="4F81BD"/>
      </a:accent1>
      <a:accent2>
        <a:srgbClr val="C0504D"/>
      </a:accent2>
      <a:accent3>
        <a:srgbClr val="9BBB59"/>
      </a:accent3>
      <a:accent4>
        <a:srgbClr val="8064A2"/>
      </a:accent4>
      <a:accent5>
        <a:srgbClr val="4BACC6"/>
      </a:accent5>
      <a:accent6>
        <a:srgbClr val="F79646"/>
      </a:accent6>
      <a:hlink>
        <a:srgbClr val="0000FF"/>
      </a:hlink>
      <a:folHlink>
        <a:srgbClr val="800080"/>
      </a:folHlink>
    </a:clrScheme>
    <a:fontScheme name="Office">
      <a:majorFont>
        <a:latin typeface="Cambria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</a:majorFont>
      <a:minorFont>
        <a:latin typeface="Calibri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tint val="50000"/>
                <a:satMod val="300000"/>
              </a:schemeClr>
            </a:gs>
            <a:gs pos="35000">
              <a:schemeClr val="phClr">
                <a:tint val="37000"/>
                <a:satMod val="300000"/>
              </a:schemeClr>
            </a:gs>
            <a:gs pos="100000">
              <a:schemeClr val="phClr">
                <a:tint val="15000"/>
                <a:satMod val="350000"/>
              </a:schemeClr>
            </a:gs>
          </a:gsLst>
          <a:lin ang="16200000" scaled="1"/>
        </a:gradFill>
        <a:gradFill rotWithShape="1">
          <a:gsLst>
            <a:gs pos="0">
              <a:schemeClr val="phClr">
                <a:shade val="51000"/>
                <a:satMod val="130000"/>
              </a:schemeClr>
            </a:gs>
            <a:gs pos="80000">
              <a:schemeClr val="phClr">
                <a:shade val="93000"/>
                <a:satMod val="130000"/>
              </a:schemeClr>
            </a:gs>
            <a:gs pos="100000">
              <a:schemeClr val="phClr">
                <a:shade val="94000"/>
                <a:satMod val="135000"/>
              </a:schemeClr>
            </a:gs>
          </a:gsLst>
          <a:lin ang="16200000" scaled="0"/>
        </a:gradFill>
      </a:fillStyleLst>
      <a:lnStyleLst>
        <a:ln w="9525" cap="flat" cmpd="sng" algn="ctr">
          <a:solidFill>
            <a:schemeClr val="phClr">
              <a:shade val="95000"/>
              <a:satMod val="105000"/>
            </a:schemeClr>
          </a:solidFill>
          <a:prstDash val="solid"/>
        </a:ln>
        <a:ln w="25400" cap="flat" cmpd="sng" algn="ctr">
          <a:solidFill>
            <a:schemeClr val="phClr"/>
          </a:solidFill>
          <a:prstDash val="solid"/>
        </a:ln>
        <a:ln w="38100" cap="flat" cmpd="sng" algn="ctr">
          <a:solidFill>
            <a:schemeClr val="phClr"/>
          </a:solidFill>
          <a:prstDash val="solid"/>
        </a:ln>
      </a:lnStyleLst>
      <a:effectStyleLst>
        <a:effectStyle>
          <a:effectLst>
            <a:outerShdw blurRad="40000" dist="20000" dir="5400000" rotWithShape="0">
              <a:srgbClr val="000000">
                <a:alpha val="38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  <a:scene3d>
            <a:camera prst="orthographicFront">
              <a:rot lat="0" lon="0" rev="0"/>
            </a:camera>
            <a:lightRig rig="threePt" dir="t">
              <a:rot lat="0" lon="0" rev="1200000"/>
            </a:lightRig>
          </a:scene3d>
          <a:sp3d>
            <a:bevelT w="63500" h="25400"/>
          </a:sp3d>
        </a:effectStyle>
      </a:effectStyleLst>
      <a:bgFillStyleLst>
        <a:solidFill>
          <a:schemeClr val="phClr"/>
        </a:solidFill>
        <a:gradFill rotWithShape="1">
          <a:gsLst>
            <a:gs pos="0">
              <a:schemeClr val="phClr">
                <a:tint val="40000"/>
                <a:satMod val="350000"/>
              </a:schemeClr>
            </a:gs>
            <a:gs pos="40000">
              <a:schemeClr val="phClr">
                <a:tint val="45000"/>
                <a:shade val="99000"/>
                <a:satMod val="350000"/>
              </a:schemeClr>
            </a:gs>
            <a:gs pos="100000">
              <a:schemeClr val="phClr">
                <a:shade val="20000"/>
                <a:satMod val="255000"/>
              </a:schemeClr>
            </a:gs>
          </a:gsLst>
          <a:path path="circle">
            <a:fillToRect l="50000" t="-80000" r="50000" b="180000"/>
          </a:path>
        </a:gradFill>
        <a:gradFill rotWithShape="1">
          <a:gsLst>
            <a:gs pos="0">
              <a:schemeClr val="phClr">
                <a:tint val="80000"/>
                <a:satMod val="300000"/>
              </a:schemeClr>
            </a:gs>
            <a:gs pos="100000">
              <a:schemeClr val="phClr">
                <a:shade val="30000"/>
                <a:satMod val="200000"/>
              </a:schemeClr>
            </a:gs>
          </a:gsLst>
          <a:path path="circle">
            <a:fillToRect l="50000" t="50000" r="50000" b="50000"/>
          </a:path>
        </a:gradFill>
      </a:bgFillStyleLst>
    </a:fmtScheme>
  </a:themeElements>
  <a:objectDefaults/>
  <a:extraClrSchemeLst/>
</a:theme>
</file>

<file path=xl/worksheets/_rels/sheet1.xml.rels><?xml version="1.0" encoding="UTF-8" standalone="yes"?>
<Relationships xmlns="http://schemas.openxmlformats.org/package/2006/relationships"><Relationship Id="rId1" Type="http://schemas.openxmlformats.org/officeDocument/2006/relationships/drawing" Target="../drawings/drawing1.xml"/><Relationship Id="rId2" Type="http://schemas.openxmlformats.org/officeDocument/2006/relationships/table" Target="../tables/table1.xml"/></Relationships>
</file>

<file path=xl/worksheets/_rels/sheet2.xml.rels><?xml version="1.0" encoding="UTF-8" standalone="yes"?>
<Relationships xmlns="http://schemas.openxmlformats.org/package/2006/relationships"><Relationship Id="rId1" Type="http://schemas.openxmlformats.org/officeDocument/2006/relationships/drawing" Target="../drawings/drawing2.xml"/><Relationship Id="rId2" Type="http://schemas.openxmlformats.org/officeDocument/2006/relationships/table" Target="../tables/table2.xml"/></Relationships>
</file>

<file path=xl/worksheets/sheet1.xml><?xml version="1.0" encoding="utf-8"?>
<worksheet xmlns="http://schemas.openxmlformats.org/spreadsheetml/2006/main" xmlns:r="http://schemas.openxmlformats.org/officeDocument/2006/relationships">
  <dimension ref="A1:H86"/>
  <sheetViews>
    <sheetView tabSelected="1" workbookViewId="0"/>
  </sheetViews>
  <sheetFormatPr defaultRowHeight="15"/>
  <cols>
    <col min="1" max="8" width="16.7109375" customWidth="1"/>
  </cols>
  <sheetData>
    <row r="1" spans="1:8">
      <c r="A1" t="s">
        <v>0</v>
      </c>
    </row>
    <row r="2" spans="1:8">
      <c r="A2" t="s">
        <v>84</v>
      </c>
      <c r="B2" t="s">
        <v>86</v>
      </c>
      <c r="C2" t="s">
        <v>87</v>
      </c>
      <c r="D2" t="s">
        <v>88</v>
      </c>
      <c r="E2" t="s">
        <v>89</v>
      </c>
      <c r="F2" t="s">
        <v>90</v>
      </c>
      <c r="G2" t="s">
        <v>91</v>
      </c>
      <c r="H2" t="s">
        <v>92</v>
      </c>
    </row>
    <row r="3" spans="1:8">
      <c r="A3" s="1" t="s">
        <v>1</v>
      </c>
      <c r="B3" s="2">
        <v>35.06452560424805</v>
      </c>
      <c r="C3" s="1">
        <v>2228</v>
      </c>
      <c r="D3" s="1">
        <v>694</v>
      </c>
      <c r="E3" s="1">
        <v>678</v>
      </c>
      <c r="F3" s="1">
        <v>16</v>
      </c>
      <c r="G3" s="1">
        <v>0</v>
      </c>
      <c r="H3" s="1">
        <v>2228</v>
      </c>
    </row>
    <row r="4" spans="1:8">
      <c r="A4" s="1" t="s">
        <v>2</v>
      </c>
      <c r="B4" s="2">
        <v>18.69688415527344</v>
      </c>
      <c r="C4" s="1">
        <v>1188</v>
      </c>
      <c r="D4" s="1">
        <v>4682</v>
      </c>
      <c r="E4" s="1">
        <v>4658</v>
      </c>
      <c r="F4" s="1">
        <v>24</v>
      </c>
      <c r="G4" s="1">
        <v>0</v>
      </c>
      <c r="H4" s="1">
        <v>1188</v>
      </c>
    </row>
    <row r="5" spans="1:8">
      <c r="A5" s="1" t="s">
        <v>3</v>
      </c>
      <c r="B5" s="2">
        <v>16.1158332824707</v>
      </c>
      <c r="C5" s="1">
        <v>1024</v>
      </c>
      <c r="D5" s="1">
        <v>404</v>
      </c>
      <c r="E5" s="1">
        <v>36</v>
      </c>
      <c r="F5" s="1">
        <v>368</v>
      </c>
      <c r="G5" s="1">
        <v>0</v>
      </c>
      <c r="H5" s="1">
        <v>1024</v>
      </c>
    </row>
    <row r="6" spans="1:8">
      <c r="A6" s="1" t="s">
        <v>4</v>
      </c>
      <c r="B6" s="2">
        <v>8.467107772827148</v>
      </c>
      <c r="C6" s="1">
        <v>538</v>
      </c>
      <c r="D6" s="1">
        <v>407</v>
      </c>
      <c r="E6" s="1">
        <v>406</v>
      </c>
      <c r="F6" s="1">
        <v>0</v>
      </c>
      <c r="G6" s="1">
        <v>1</v>
      </c>
      <c r="H6" s="1">
        <v>537</v>
      </c>
    </row>
    <row r="7" spans="1:8">
      <c r="A7" s="1" t="s">
        <v>5</v>
      </c>
      <c r="B7" s="2">
        <v>4.469625473022461</v>
      </c>
      <c r="C7" s="1">
        <v>284</v>
      </c>
      <c r="D7" s="1">
        <v>216</v>
      </c>
      <c r="E7" s="1">
        <v>216</v>
      </c>
      <c r="F7" s="1">
        <v>0</v>
      </c>
      <c r="G7" s="1">
        <v>0</v>
      </c>
      <c r="H7" s="1">
        <v>284</v>
      </c>
    </row>
    <row r="8" spans="1:8">
      <c r="A8" s="1" t="s">
        <v>6</v>
      </c>
      <c r="B8" s="2">
        <v>3.462385892868042</v>
      </c>
      <c r="C8" s="1">
        <v>220</v>
      </c>
      <c r="D8" s="1">
        <v>792</v>
      </c>
      <c r="E8" s="1">
        <v>792</v>
      </c>
      <c r="F8" s="1">
        <v>0</v>
      </c>
      <c r="G8" s="1">
        <v>0</v>
      </c>
      <c r="H8" s="1">
        <v>220</v>
      </c>
    </row>
    <row r="9" spans="1:8">
      <c r="A9" s="1" t="s">
        <v>7</v>
      </c>
      <c r="B9" s="2">
        <v>2.675480127334595</v>
      </c>
      <c r="C9" s="1">
        <v>170</v>
      </c>
      <c r="D9" s="1">
        <v>854</v>
      </c>
      <c r="E9" s="1">
        <v>686</v>
      </c>
      <c r="F9" s="1">
        <v>0</v>
      </c>
      <c r="G9" s="1">
        <v>168</v>
      </c>
      <c r="H9" s="1">
        <v>2</v>
      </c>
    </row>
    <row r="10" spans="1:8">
      <c r="A10" s="1" t="s">
        <v>8</v>
      </c>
      <c r="B10" s="2">
        <v>2.266288995742798</v>
      </c>
      <c r="C10" s="1">
        <v>144</v>
      </c>
      <c r="D10" s="1">
        <v>260</v>
      </c>
      <c r="E10" s="1">
        <v>260</v>
      </c>
      <c r="F10" s="1">
        <v>0</v>
      </c>
      <c r="G10" s="1">
        <v>0</v>
      </c>
      <c r="H10" s="1">
        <v>144</v>
      </c>
    </row>
    <row r="11" spans="1:8">
      <c r="A11" s="1" t="s">
        <v>9</v>
      </c>
      <c r="B11" s="2">
        <v>2.077431440353394</v>
      </c>
      <c r="C11" s="1">
        <v>132</v>
      </c>
      <c r="D11" s="1">
        <v>296</v>
      </c>
      <c r="E11" s="1">
        <v>296</v>
      </c>
      <c r="F11" s="1">
        <v>0</v>
      </c>
      <c r="G11" s="1">
        <v>0</v>
      </c>
      <c r="H11" s="1">
        <v>132</v>
      </c>
    </row>
    <row r="12" spans="1:8">
      <c r="A12" s="1" t="s">
        <v>10</v>
      </c>
      <c r="B12" s="2">
        <v>1.841359734535217</v>
      </c>
      <c r="C12" s="1">
        <v>117</v>
      </c>
      <c r="D12" s="1">
        <v>3030</v>
      </c>
      <c r="E12" s="1">
        <v>2946</v>
      </c>
      <c r="F12" s="1">
        <v>0</v>
      </c>
      <c r="G12" s="1">
        <v>84</v>
      </c>
      <c r="H12" s="1">
        <v>33</v>
      </c>
    </row>
    <row r="13" spans="1:8">
      <c r="A13" s="1" t="s">
        <v>11</v>
      </c>
      <c r="B13" s="2">
        <v>1.652502417564392</v>
      </c>
      <c r="C13" s="1">
        <v>105</v>
      </c>
      <c r="D13" s="1">
        <v>906</v>
      </c>
      <c r="E13" s="1">
        <v>802</v>
      </c>
      <c r="F13" s="1">
        <v>0</v>
      </c>
      <c r="G13" s="1">
        <v>104</v>
      </c>
      <c r="H13" s="1">
        <v>1</v>
      </c>
    </row>
    <row r="14" spans="1:8">
      <c r="A14" s="1" t="s">
        <v>12</v>
      </c>
      <c r="B14" s="2">
        <v>1.259049415588379</v>
      </c>
      <c r="C14" s="1">
        <v>80</v>
      </c>
      <c r="D14" s="1">
        <v>654</v>
      </c>
      <c r="E14" s="1">
        <v>642</v>
      </c>
      <c r="F14" s="1">
        <v>4</v>
      </c>
      <c r="G14" s="1">
        <v>8</v>
      </c>
      <c r="H14" s="1">
        <v>72</v>
      </c>
    </row>
    <row r="15" spans="1:8">
      <c r="A15" s="1" t="s">
        <v>13</v>
      </c>
      <c r="B15" s="2">
        <v>0.6610009670257568</v>
      </c>
      <c r="C15" s="1">
        <v>42</v>
      </c>
      <c r="D15" s="1">
        <v>3736</v>
      </c>
      <c r="E15" s="1">
        <v>3736</v>
      </c>
      <c r="F15" s="1">
        <v>0</v>
      </c>
      <c r="G15" s="1">
        <v>0</v>
      </c>
      <c r="H15" s="1">
        <v>42</v>
      </c>
    </row>
    <row r="16" spans="1:8">
      <c r="A16" s="1" t="s">
        <v>14</v>
      </c>
      <c r="B16" s="2">
        <v>0.3462385833263397</v>
      </c>
      <c r="C16" s="1">
        <v>22</v>
      </c>
      <c r="D16" s="1">
        <v>2990</v>
      </c>
      <c r="E16" s="1">
        <v>2904</v>
      </c>
      <c r="F16" s="1">
        <v>84</v>
      </c>
      <c r="G16" s="1">
        <v>2</v>
      </c>
      <c r="H16" s="1">
        <v>20</v>
      </c>
    </row>
    <row r="17" spans="1:8">
      <c r="A17" s="1" t="s">
        <v>15</v>
      </c>
      <c r="B17" s="2">
        <v>0.299024224281311</v>
      </c>
      <c r="C17" s="1">
        <v>19</v>
      </c>
      <c r="D17" s="1">
        <v>4704</v>
      </c>
      <c r="E17" s="1">
        <v>4690</v>
      </c>
      <c r="F17" s="1">
        <v>0</v>
      </c>
      <c r="G17" s="1">
        <v>14</v>
      </c>
      <c r="H17" s="1">
        <v>5</v>
      </c>
    </row>
    <row r="18" spans="1:8">
      <c r="A18" s="1" t="s">
        <v>16</v>
      </c>
      <c r="B18" s="2">
        <v>0.267547994852066</v>
      </c>
      <c r="C18" s="1">
        <v>17</v>
      </c>
      <c r="D18" s="1">
        <v>203</v>
      </c>
      <c r="E18" s="1">
        <v>182</v>
      </c>
      <c r="F18" s="1">
        <v>5</v>
      </c>
      <c r="G18" s="1">
        <v>16</v>
      </c>
      <c r="H18" s="1">
        <v>1</v>
      </c>
    </row>
    <row r="19" spans="1:8">
      <c r="A19" s="1" t="s">
        <v>17</v>
      </c>
      <c r="B19" s="2">
        <v>0.1888574063777924</v>
      </c>
      <c r="C19" s="1">
        <v>12</v>
      </c>
      <c r="D19" s="1">
        <v>532</v>
      </c>
      <c r="E19" s="1">
        <v>528</v>
      </c>
      <c r="F19" s="1">
        <v>0</v>
      </c>
      <c r="G19" s="1">
        <v>4</v>
      </c>
      <c r="H19" s="1">
        <v>8</v>
      </c>
    </row>
    <row r="20" spans="1:8">
      <c r="A20" s="1" t="s">
        <v>18</v>
      </c>
      <c r="B20" s="2">
        <v>0.06295247375965118</v>
      </c>
      <c r="C20" s="1">
        <v>4</v>
      </c>
      <c r="D20" s="1">
        <v>84</v>
      </c>
      <c r="E20" s="1">
        <v>84</v>
      </c>
      <c r="F20" s="1">
        <v>0</v>
      </c>
      <c r="G20" s="1">
        <v>0</v>
      </c>
      <c r="H20" s="1">
        <v>4</v>
      </c>
    </row>
    <row r="21" spans="1:8">
      <c r="A21" s="1" t="s">
        <v>19</v>
      </c>
      <c r="B21" s="2">
        <v>0.06295247375965118</v>
      </c>
      <c r="C21" s="1">
        <v>4</v>
      </c>
      <c r="D21" s="1">
        <v>400</v>
      </c>
      <c r="E21" s="1">
        <v>396</v>
      </c>
      <c r="F21" s="1">
        <v>0</v>
      </c>
      <c r="G21" s="1">
        <v>4</v>
      </c>
      <c r="H21" s="1">
        <v>0</v>
      </c>
    </row>
    <row r="22" spans="1:8">
      <c r="A22" s="1" t="s">
        <v>20</v>
      </c>
      <c r="B22" s="2">
        <v>0.03147623687982559</v>
      </c>
      <c r="C22" s="1">
        <v>2</v>
      </c>
      <c r="D22" s="1">
        <v>574</v>
      </c>
      <c r="E22" s="1">
        <v>574</v>
      </c>
      <c r="F22" s="1">
        <v>0</v>
      </c>
      <c r="G22" s="1">
        <v>0</v>
      </c>
      <c r="H22" s="1">
        <v>2</v>
      </c>
    </row>
    <row r="23" spans="1:8">
      <c r="A23" s="1" t="s">
        <v>21</v>
      </c>
      <c r="B23" s="2">
        <v>0.0157381184399128</v>
      </c>
      <c r="C23" s="1">
        <v>1</v>
      </c>
      <c r="D23" s="1">
        <v>161</v>
      </c>
      <c r="E23" s="1">
        <v>160</v>
      </c>
      <c r="F23" s="1">
        <v>0</v>
      </c>
      <c r="G23" s="1">
        <v>1</v>
      </c>
      <c r="H23" s="1">
        <v>0</v>
      </c>
    </row>
    <row r="24" spans="1:8">
      <c r="A24" s="1" t="s">
        <v>22</v>
      </c>
      <c r="B24" s="2">
        <v>0.0157381184399128</v>
      </c>
      <c r="C24" s="1">
        <v>1</v>
      </c>
      <c r="D24" s="1">
        <v>106</v>
      </c>
      <c r="E24" s="1">
        <v>106</v>
      </c>
      <c r="F24" s="1">
        <v>0</v>
      </c>
      <c r="G24" s="1">
        <v>0</v>
      </c>
      <c r="H24" s="1">
        <v>1</v>
      </c>
    </row>
    <row r="86" spans="1:8">
      <c r="A86" t="s">
        <v>85</v>
      </c>
      <c r="B86">
        <f>SUBTOTAL(109,[ram_percent])</f>
        <v>0</v>
      </c>
      <c r="C86">
        <f>SUBTOTAL(109,[ram])</f>
        <v>0</v>
      </c>
      <c r="D86">
        <f>SUBTOTAL(109,[flash])</f>
        <v>0</v>
      </c>
      <c r="E86">
        <f>SUBTOTAL(109,[Code])</f>
        <v>0</v>
      </c>
      <c r="F86">
        <f>SUBTOTAL(109,[RO_data])</f>
        <v>0</v>
      </c>
      <c r="G86">
        <f>SUBTOTAL(109,[RW_data])</f>
        <v>0</v>
      </c>
      <c r="H86">
        <f>SUBTOTAL(109,[ZI_data])</f>
        <v>0</v>
      </c>
    </row>
  </sheetData>
  <pageMargins left="0.7" right="0.7" top="0.75" bottom="0.75" header="0.3" footer="0.3"/>
  <drawing r:id="rId1"/>
  <tableParts count="1">
    <tablePart r:id="rId2"/>
  </tableParts>
</worksheet>
</file>

<file path=xl/worksheets/sheet2.xml><?xml version="1.0" encoding="utf-8"?>
<worksheet xmlns="http://schemas.openxmlformats.org/spreadsheetml/2006/main" xmlns:r="http://schemas.openxmlformats.org/officeDocument/2006/relationships">
  <dimension ref="A1:H86"/>
  <sheetViews>
    <sheetView workbookViewId="0"/>
  </sheetViews>
  <sheetFormatPr defaultRowHeight="15"/>
  <cols>
    <col min="1" max="8" width="16.7109375" customWidth="1"/>
  </cols>
  <sheetData>
    <row r="1" spans="1:8">
      <c r="A1" t="s">
        <v>0</v>
      </c>
    </row>
    <row r="2" spans="1:8">
      <c r="A2" t="s">
        <v>84</v>
      </c>
      <c r="B2" t="s">
        <v>93</v>
      </c>
      <c r="C2" t="s">
        <v>88</v>
      </c>
      <c r="D2" t="s">
        <v>87</v>
      </c>
      <c r="E2" t="s">
        <v>89</v>
      </c>
      <c r="F2" t="s">
        <v>90</v>
      </c>
      <c r="G2" t="s">
        <v>91</v>
      </c>
      <c r="H2" t="s">
        <v>92</v>
      </c>
    </row>
    <row r="3" spans="1:8">
      <c r="A3" s="1" t="s">
        <v>15</v>
      </c>
      <c r="B3" s="2">
        <v>12.10966682434082</v>
      </c>
      <c r="C3" s="1">
        <v>4704</v>
      </c>
      <c r="D3" s="1">
        <v>19</v>
      </c>
      <c r="E3" s="1">
        <v>4690</v>
      </c>
      <c r="F3" s="1">
        <v>0</v>
      </c>
      <c r="G3" s="1">
        <v>14</v>
      </c>
      <c r="H3" s="1">
        <v>5</v>
      </c>
    </row>
    <row r="4" spans="1:8">
      <c r="A4" s="1" t="s">
        <v>2</v>
      </c>
      <c r="B4" s="2">
        <v>12.0530309677124</v>
      </c>
      <c r="C4" s="1">
        <v>4682</v>
      </c>
      <c r="D4" s="1">
        <v>1188</v>
      </c>
      <c r="E4" s="1">
        <v>4658</v>
      </c>
      <c r="F4" s="1">
        <v>24</v>
      </c>
      <c r="G4" s="1">
        <v>0</v>
      </c>
      <c r="H4" s="1">
        <v>1188</v>
      </c>
    </row>
    <row r="5" spans="1:8">
      <c r="A5" s="1" t="s">
        <v>13</v>
      </c>
      <c r="B5" s="2">
        <v>9.617711067199707</v>
      </c>
      <c r="C5" s="1">
        <v>3736</v>
      </c>
      <c r="D5" s="1">
        <v>42</v>
      </c>
      <c r="E5" s="1">
        <v>3736</v>
      </c>
      <c r="F5" s="1">
        <v>0</v>
      </c>
      <c r="G5" s="1">
        <v>0</v>
      </c>
      <c r="H5" s="1">
        <v>42</v>
      </c>
    </row>
    <row r="6" spans="1:8">
      <c r="A6" s="1" t="s">
        <v>10</v>
      </c>
      <c r="B6" s="2">
        <v>7.800231456756592</v>
      </c>
      <c r="C6" s="1">
        <v>3030</v>
      </c>
      <c r="D6" s="1">
        <v>117</v>
      </c>
      <c r="E6" s="1">
        <v>2946</v>
      </c>
      <c r="F6" s="1">
        <v>0</v>
      </c>
      <c r="G6" s="1">
        <v>84</v>
      </c>
      <c r="H6" s="1">
        <v>33</v>
      </c>
    </row>
    <row r="7" spans="1:8">
      <c r="A7" s="1" t="s">
        <v>14</v>
      </c>
      <c r="B7" s="2">
        <v>7.697258472442627</v>
      </c>
      <c r="C7" s="1">
        <v>2990</v>
      </c>
      <c r="D7" s="1">
        <v>22</v>
      </c>
      <c r="E7" s="1">
        <v>2904</v>
      </c>
      <c r="F7" s="1">
        <v>84</v>
      </c>
      <c r="G7" s="1">
        <v>2</v>
      </c>
      <c r="H7" s="1">
        <v>20</v>
      </c>
    </row>
    <row r="8" spans="1:8">
      <c r="A8" s="1" t="s">
        <v>23</v>
      </c>
      <c r="B8" s="2">
        <v>4.911828994750977</v>
      </c>
      <c r="C8" s="1">
        <v>1908</v>
      </c>
      <c r="D8" s="1">
        <v>0</v>
      </c>
      <c r="E8" s="1">
        <v>1908</v>
      </c>
      <c r="F8" s="1">
        <v>0</v>
      </c>
      <c r="G8" s="1">
        <v>0</v>
      </c>
      <c r="H8" s="1">
        <v>0</v>
      </c>
    </row>
    <row r="9" spans="1:8">
      <c r="A9" s="1" t="s">
        <v>24</v>
      </c>
      <c r="B9" s="2">
        <v>3.156133413314819</v>
      </c>
      <c r="C9" s="1">
        <v>1226</v>
      </c>
      <c r="D9" s="1">
        <v>0</v>
      </c>
      <c r="E9" s="1">
        <v>1226</v>
      </c>
      <c r="F9" s="1">
        <v>0</v>
      </c>
      <c r="G9" s="1">
        <v>0</v>
      </c>
      <c r="H9" s="1">
        <v>0</v>
      </c>
    </row>
    <row r="10" spans="1:8">
      <c r="A10" s="1" t="s">
        <v>25</v>
      </c>
      <c r="B10" s="2">
        <v>2.574333906173706</v>
      </c>
      <c r="C10" s="1">
        <v>1000</v>
      </c>
      <c r="D10" s="1">
        <v>0</v>
      </c>
      <c r="E10" s="1">
        <v>992</v>
      </c>
      <c r="F10" s="1">
        <v>8</v>
      </c>
      <c r="G10" s="1">
        <v>0</v>
      </c>
      <c r="H10" s="1">
        <v>0</v>
      </c>
    </row>
    <row r="11" spans="1:8">
      <c r="A11" s="1" t="s">
        <v>11</v>
      </c>
      <c r="B11" s="2">
        <v>2.332346439361572</v>
      </c>
      <c r="C11" s="1">
        <v>906</v>
      </c>
      <c r="D11" s="1">
        <v>105</v>
      </c>
      <c r="E11" s="1">
        <v>802</v>
      </c>
      <c r="F11" s="1">
        <v>0</v>
      </c>
      <c r="G11" s="1">
        <v>104</v>
      </c>
      <c r="H11" s="1">
        <v>1</v>
      </c>
    </row>
    <row r="12" spans="1:8">
      <c r="A12" s="1" t="s">
        <v>7</v>
      </c>
      <c r="B12" s="2">
        <v>2.19848108291626</v>
      </c>
      <c r="C12" s="1">
        <v>854</v>
      </c>
      <c r="D12" s="1">
        <v>170</v>
      </c>
      <c r="E12" s="1">
        <v>686</v>
      </c>
      <c r="F12" s="1">
        <v>0</v>
      </c>
      <c r="G12" s="1">
        <v>168</v>
      </c>
      <c r="H12" s="1">
        <v>2</v>
      </c>
    </row>
    <row r="13" spans="1:8">
      <c r="A13" s="1" t="s">
        <v>6</v>
      </c>
      <c r="B13" s="2">
        <v>2.038872480392456</v>
      </c>
      <c r="C13" s="1">
        <v>792</v>
      </c>
      <c r="D13" s="1">
        <v>220</v>
      </c>
      <c r="E13" s="1">
        <v>792</v>
      </c>
      <c r="F13" s="1">
        <v>0</v>
      </c>
      <c r="G13" s="1">
        <v>0</v>
      </c>
      <c r="H13" s="1">
        <v>220</v>
      </c>
    </row>
    <row r="14" spans="1:8">
      <c r="A14" s="1" t="s">
        <v>1</v>
      </c>
      <c r="B14" s="2">
        <v>1.786587715148926</v>
      </c>
      <c r="C14" s="1">
        <v>694</v>
      </c>
      <c r="D14" s="1">
        <v>2228</v>
      </c>
      <c r="E14" s="1">
        <v>678</v>
      </c>
      <c r="F14" s="1">
        <v>16</v>
      </c>
      <c r="G14" s="1">
        <v>0</v>
      </c>
      <c r="H14" s="1">
        <v>2228</v>
      </c>
    </row>
    <row r="15" spans="1:8">
      <c r="A15" s="1" t="s">
        <v>26</v>
      </c>
      <c r="B15" s="2">
        <v>1.709357738494873</v>
      </c>
      <c r="C15" s="1">
        <v>664</v>
      </c>
      <c r="D15" s="1">
        <v>0</v>
      </c>
      <c r="E15" s="1">
        <v>664</v>
      </c>
      <c r="F15" s="1">
        <v>0</v>
      </c>
      <c r="G15" s="1">
        <v>0</v>
      </c>
      <c r="H15" s="1">
        <v>0</v>
      </c>
    </row>
    <row r="16" spans="1:8">
      <c r="A16" s="1" t="s">
        <v>12</v>
      </c>
      <c r="B16" s="2">
        <v>1.683614373207092</v>
      </c>
      <c r="C16" s="1">
        <v>654</v>
      </c>
      <c r="D16" s="1">
        <v>80</v>
      </c>
      <c r="E16" s="1">
        <v>642</v>
      </c>
      <c r="F16" s="1">
        <v>4</v>
      </c>
      <c r="G16" s="1">
        <v>8</v>
      </c>
      <c r="H16" s="1">
        <v>72</v>
      </c>
    </row>
    <row r="17" spans="1:8">
      <c r="A17" s="1" t="s">
        <v>27</v>
      </c>
      <c r="B17" s="2">
        <v>1.54974901676178</v>
      </c>
      <c r="C17" s="1">
        <v>602</v>
      </c>
      <c r="D17" s="1">
        <v>0</v>
      </c>
      <c r="E17" s="1">
        <v>602</v>
      </c>
      <c r="F17" s="1">
        <v>0</v>
      </c>
      <c r="G17" s="1">
        <v>0</v>
      </c>
      <c r="H17" s="1">
        <v>0</v>
      </c>
    </row>
    <row r="18" spans="1:8">
      <c r="A18" s="1" t="s">
        <v>28</v>
      </c>
      <c r="B18" s="2">
        <v>1.503410935401917</v>
      </c>
      <c r="C18" s="1">
        <v>584</v>
      </c>
      <c r="D18" s="1">
        <v>0</v>
      </c>
      <c r="E18" s="1">
        <v>584</v>
      </c>
      <c r="F18" s="1">
        <v>0</v>
      </c>
      <c r="G18" s="1">
        <v>0</v>
      </c>
      <c r="H18" s="1">
        <v>0</v>
      </c>
    </row>
    <row r="19" spans="1:8">
      <c r="A19" s="1" t="s">
        <v>20</v>
      </c>
      <c r="B19" s="2">
        <v>1.477667689323425</v>
      </c>
      <c r="C19" s="1">
        <v>574</v>
      </c>
      <c r="D19" s="1">
        <v>2</v>
      </c>
      <c r="E19" s="1">
        <v>574</v>
      </c>
      <c r="F19" s="1">
        <v>0</v>
      </c>
      <c r="G19" s="1">
        <v>0</v>
      </c>
      <c r="H19" s="1">
        <v>2</v>
      </c>
    </row>
    <row r="20" spans="1:8">
      <c r="A20" s="1" t="s">
        <v>29</v>
      </c>
      <c r="B20" s="2">
        <v>1.43647825717926</v>
      </c>
      <c r="C20" s="1">
        <v>558</v>
      </c>
      <c r="D20" s="1">
        <v>0</v>
      </c>
      <c r="E20" s="1">
        <v>558</v>
      </c>
      <c r="F20" s="1">
        <v>0</v>
      </c>
      <c r="G20" s="1">
        <v>0</v>
      </c>
      <c r="H20" s="1">
        <v>0</v>
      </c>
    </row>
    <row r="21" spans="1:8">
      <c r="A21" s="1" t="s">
        <v>17</v>
      </c>
      <c r="B21" s="2">
        <v>1.369545578956604</v>
      </c>
      <c r="C21" s="1">
        <v>532</v>
      </c>
      <c r="D21" s="1">
        <v>12</v>
      </c>
      <c r="E21" s="1">
        <v>528</v>
      </c>
      <c r="F21" s="1">
        <v>0</v>
      </c>
      <c r="G21" s="1">
        <v>4</v>
      </c>
      <c r="H21" s="1">
        <v>8</v>
      </c>
    </row>
    <row r="22" spans="1:8">
      <c r="A22" s="1" t="s">
        <v>30</v>
      </c>
      <c r="B22" s="2">
        <v>1.050328254699707</v>
      </c>
      <c r="C22" s="1">
        <v>408</v>
      </c>
      <c r="D22" s="1">
        <v>0</v>
      </c>
      <c r="E22" s="1">
        <v>408</v>
      </c>
      <c r="F22" s="1">
        <v>0</v>
      </c>
      <c r="G22" s="1">
        <v>0</v>
      </c>
      <c r="H22" s="1">
        <v>0</v>
      </c>
    </row>
    <row r="23" spans="1:8">
      <c r="A23" s="1" t="s">
        <v>4</v>
      </c>
      <c r="B23" s="2">
        <v>1.047753930091858</v>
      </c>
      <c r="C23" s="1">
        <v>407</v>
      </c>
      <c r="D23" s="1">
        <v>538</v>
      </c>
      <c r="E23" s="1">
        <v>406</v>
      </c>
      <c r="F23" s="1">
        <v>0</v>
      </c>
      <c r="G23" s="1">
        <v>1</v>
      </c>
      <c r="H23" s="1">
        <v>537</v>
      </c>
    </row>
    <row r="24" spans="1:8">
      <c r="A24" s="1" t="s">
        <v>3</v>
      </c>
      <c r="B24" s="2">
        <v>1.040030837059021</v>
      </c>
      <c r="C24" s="1">
        <v>404</v>
      </c>
      <c r="D24" s="1">
        <v>1024</v>
      </c>
      <c r="E24" s="1">
        <v>36</v>
      </c>
      <c r="F24" s="1">
        <v>368</v>
      </c>
      <c r="G24" s="1">
        <v>0</v>
      </c>
      <c r="H24" s="1">
        <v>1024</v>
      </c>
    </row>
    <row r="25" spans="1:8">
      <c r="A25" s="1" t="s">
        <v>19</v>
      </c>
      <c r="B25" s="2">
        <v>1.029733538627625</v>
      </c>
      <c r="C25" s="1">
        <v>400</v>
      </c>
      <c r="D25" s="1">
        <v>4</v>
      </c>
      <c r="E25" s="1">
        <v>396</v>
      </c>
      <c r="F25" s="1">
        <v>0</v>
      </c>
      <c r="G25" s="1">
        <v>4</v>
      </c>
      <c r="H25" s="1">
        <v>0</v>
      </c>
    </row>
    <row r="26" spans="1:8">
      <c r="A26" s="1" t="s">
        <v>31</v>
      </c>
      <c r="B26" s="2">
        <v>1.003990173339844</v>
      </c>
      <c r="C26" s="1">
        <v>390</v>
      </c>
      <c r="D26" s="1">
        <v>0</v>
      </c>
      <c r="E26" s="1">
        <v>390</v>
      </c>
      <c r="F26" s="1">
        <v>0</v>
      </c>
      <c r="G26" s="1">
        <v>0</v>
      </c>
      <c r="H26" s="1">
        <v>0</v>
      </c>
    </row>
    <row r="27" spans="1:8">
      <c r="A27" s="1" t="s">
        <v>32</v>
      </c>
      <c r="B27" s="2">
        <v>0.9113141894340515</v>
      </c>
      <c r="C27" s="1">
        <v>354</v>
      </c>
      <c r="D27" s="1">
        <v>0</v>
      </c>
      <c r="E27" s="1">
        <v>354</v>
      </c>
      <c r="F27" s="1">
        <v>0</v>
      </c>
      <c r="G27" s="1">
        <v>0</v>
      </c>
      <c r="H27" s="1">
        <v>0</v>
      </c>
    </row>
    <row r="28" spans="1:8">
      <c r="A28" s="1" t="s">
        <v>33</v>
      </c>
      <c r="B28" s="2">
        <v>0.8598275184631348</v>
      </c>
      <c r="C28" s="1">
        <v>334</v>
      </c>
      <c r="D28" s="1">
        <v>0</v>
      </c>
      <c r="E28" s="1">
        <v>334</v>
      </c>
      <c r="F28" s="1">
        <v>0</v>
      </c>
      <c r="G28" s="1">
        <v>0</v>
      </c>
      <c r="H28" s="1">
        <v>0</v>
      </c>
    </row>
    <row r="29" spans="1:8">
      <c r="A29" s="1" t="s">
        <v>34</v>
      </c>
      <c r="B29" s="2">
        <v>0.8495301604270935</v>
      </c>
      <c r="C29" s="1">
        <v>330</v>
      </c>
      <c r="D29" s="1">
        <v>0</v>
      </c>
      <c r="E29" s="1">
        <v>330</v>
      </c>
      <c r="F29" s="1">
        <v>0</v>
      </c>
      <c r="G29" s="1">
        <v>0</v>
      </c>
      <c r="H29" s="1">
        <v>0</v>
      </c>
    </row>
    <row r="30" spans="1:8">
      <c r="A30" s="1" t="s">
        <v>9</v>
      </c>
      <c r="B30" s="2">
        <v>0.7620028257369995</v>
      </c>
      <c r="C30" s="1">
        <v>296</v>
      </c>
      <c r="D30" s="1">
        <v>132</v>
      </c>
      <c r="E30" s="1">
        <v>296</v>
      </c>
      <c r="F30" s="1">
        <v>0</v>
      </c>
      <c r="G30" s="1">
        <v>0</v>
      </c>
      <c r="H30" s="1">
        <v>132</v>
      </c>
    </row>
    <row r="31" spans="1:8">
      <c r="A31" s="1" t="s">
        <v>8</v>
      </c>
      <c r="B31" s="2">
        <v>0.6693267822265625</v>
      </c>
      <c r="C31" s="1">
        <v>260</v>
      </c>
      <c r="D31" s="1">
        <v>144</v>
      </c>
      <c r="E31" s="1">
        <v>260</v>
      </c>
      <c r="F31" s="1">
        <v>0</v>
      </c>
      <c r="G31" s="1">
        <v>0</v>
      </c>
      <c r="H31" s="1">
        <v>144</v>
      </c>
    </row>
    <row r="32" spans="1:8">
      <c r="A32" s="1" t="s">
        <v>35</v>
      </c>
      <c r="B32" s="2">
        <v>0.6178401112556458</v>
      </c>
      <c r="C32" s="1">
        <v>240</v>
      </c>
      <c r="D32" s="1">
        <v>0</v>
      </c>
      <c r="E32" s="1">
        <v>240</v>
      </c>
      <c r="F32" s="1">
        <v>0</v>
      </c>
      <c r="G32" s="1">
        <v>0</v>
      </c>
      <c r="H32" s="1">
        <v>0</v>
      </c>
    </row>
    <row r="33" spans="1:8">
      <c r="A33" s="1" t="s">
        <v>36</v>
      </c>
      <c r="B33" s="2">
        <v>0.6126914620399475</v>
      </c>
      <c r="C33" s="1">
        <v>238</v>
      </c>
      <c r="D33" s="1">
        <v>0</v>
      </c>
      <c r="E33" s="1">
        <v>238</v>
      </c>
      <c r="F33" s="1">
        <v>0</v>
      </c>
      <c r="G33" s="1">
        <v>0</v>
      </c>
      <c r="H33" s="1">
        <v>0</v>
      </c>
    </row>
    <row r="34" spans="1:8">
      <c r="A34" s="1" t="s">
        <v>37</v>
      </c>
      <c r="B34" s="2">
        <v>0.5869481563568115</v>
      </c>
      <c r="C34" s="1">
        <v>228</v>
      </c>
      <c r="D34" s="1">
        <v>0</v>
      </c>
      <c r="E34" s="1">
        <v>228</v>
      </c>
      <c r="F34" s="1">
        <v>0</v>
      </c>
      <c r="G34" s="1">
        <v>0</v>
      </c>
      <c r="H34" s="1">
        <v>0</v>
      </c>
    </row>
    <row r="35" spans="1:8">
      <c r="A35" s="1" t="s">
        <v>38</v>
      </c>
      <c r="B35" s="2">
        <v>0.571502149105072</v>
      </c>
      <c r="C35" s="1">
        <v>222</v>
      </c>
      <c r="D35" s="1">
        <v>0</v>
      </c>
      <c r="E35" s="1">
        <v>222</v>
      </c>
      <c r="F35" s="1">
        <v>0</v>
      </c>
      <c r="G35" s="1">
        <v>0</v>
      </c>
      <c r="H35" s="1">
        <v>0</v>
      </c>
    </row>
    <row r="36" spans="1:8">
      <c r="A36" s="1" t="s">
        <v>39</v>
      </c>
      <c r="B36" s="2">
        <v>0.571502149105072</v>
      </c>
      <c r="C36" s="1">
        <v>222</v>
      </c>
      <c r="D36" s="1">
        <v>0</v>
      </c>
      <c r="E36" s="1">
        <v>222</v>
      </c>
      <c r="F36" s="1">
        <v>0</v>
      </c>
      <c r="G36" s="1">
        <v>0</v>
      </c>
      <c r="H36" s="1">
        <v>0</v>
      </c>
    </row>
    <row r="37" spans="1:8">
      <c r="A37" s="1" t="s">
        <v>5</v>
      </c>
      <c r="B37" s="2">
        <v>0.5560561418533325</v>
      </c>
      <c r="C37" s="1">
        <v>216</v>
      </c>
      <c r="D37" s="1">
        <v>284</v>
      </c>
      <c r="E37" s="1">
        <v>216</v>
      </c>
      <c r="F37" s="1">
        <v>0</v>
      </c>
      <c r="G37" s="1">
        <v>0</v>
      </c>
      <c r="H37" s="1">
        <v>284</v>
      </c>
    </row>
    <row r="38" spans="1:8">
      <c r="A38" s="1" t="s">
        <v>16</v>
      </c>
      <c r="B38" s="2">
        <v>0.5225898027420044</v>
      </c>
      <c r="C38" s="1">
        <v>203</v>
      </c>
      <c r="D38" s="1">
        <v>17</v>
      </c>
      <c r="E38" s="1">
        <v>182</v>
      </c>
      <c r="F38" s="1">
        <v>5</v>
      </c>
      <c r="G38" s="1">
        <v>16</v>
      </c>
      <c r="H38" s="1">
        <v>1</v>
      </c>
    </row>
    <row r="39" spans="1:8">
      <c r="A39" s="1" t="s">
        <v>40</v>
      </c>
      <c r="B39" s="2">
        <v>0.478826105594635</v>
      </c>
      <c r="C39" s="1">
        <v>186</v>
      </c>
      <c r="D39" s="1">
        <v>0</v>
      </c>
      <c r="E39" s="1">
        <v>186</v>
      </c>
      <c r="F39" s="1">
        <v>0</v>
      </c>
      <c r="G39" s="1">
        <v>0</v>
      </c>
      <c r="H39" s="1">
        <v>0</v>
      </c>
    </row>
    <row r="40" spans="1:8">
      <c r="A40" s="1" t="s">
        <v>41</v>
      </c>
      <c r="B40" s="2">
        <v>0.4685287773609161</v>
      </c>
      <c r="C40" s="1">
        <v>182</v>
      </c>
      <c r="D40" s="1">
        <v>0</v>
      </c>
      <c r="E40" s="1">
        <v>182</v>
      </c>
      <c r="F40" s="1">
        <v>0</v>
      </c>
      <c r="G40" s="1">
        <v>0</v>
      </c>
      <c r="H40" s="1">
        <v>0</v>
      </c>
    </row>
    <row r="41" spans="1:8">
      <c r="A41" s="1" t="s">
        <v>42</v>
      </c>
      <c r="B41" s="2">
        <v>0.4582314193248749</v>
      </c>
      <c r="C41" s="1">
        <v>178</v>
      </c>
      <c r="D41" s="1">
        <v>0</v>
      </c>
      <c r="E41" s="1">
        <v>178</v>
      </c>
      <c r="F41" s="1">
        <v>0</v>
      </c>
      <c r="G41" s="1">
        <v>0</v>
      </c>
      <c r="H41" s="1">
        <v>0</v>
      </c>
    </row>
    <row r="42" spans="1:8">
      <c r="A42" s="1" t="s">
        <v>43</v>
      </c>
      <c r="B42" s="2">
        <v>0.4530827701091766</v>
      </c>
      <c r="C42" s="1">
        <v>176</v>
      </c>
      <c r="D42" s="1">
        <v>0</v>
      </c>
      <c r="E42" s="1">
        <v>176</v>
      </c>
      <c r="F42" s="1">
        <v>0</v>
      </c>
      <c r="G42" s="1">
        <v>0</v>
      </c>
      <c r="H42" s="1">
        <v>0</v>
      </c>
    </row>
    <row r="43" spans="1:8">
      <c r="A43" s="1" t="s">
        <v>21</v>
      </c>
      <c r="B43" s="2">
        <v>0.4144677519798279</v>
      </c>
      <c r="C43" s="1">
        <v>161</v>
      </c>
      <c r="D43" s="1">
        <v>1</v>
      </c>
      <c r="E43" s="1">
        <v>160</v>
      </c>
      <c r="F43" s="1">
        <v>0</v>
      </c>
      <c r="G43" s="1">
        <v>1</v>
      </c>
      <c r="H43" s="1">
        <v>0</v>
      </c>
    </row>
    <row r="44" spans="1:8">
      <c r="A44" s="1" t="s">
        <v>44</v>
      </c>
      <c r="B44" s="2">
        <v>0.4015960991382599</v>
      </c>
      <c r="C44" s="1">
        <v>156</v>
      </c>
      <c r="D44" s="1">
        <v>0</v>
      </c>
      <c r="E44" s="1">
        <v>156</v>
      </c>
      <c r="F44" s="1">
        <v>0</v>
      </c>
      <c r="G44" s="1">
        <v>0</v>
      </c>
      <c r="H44" s="1">
        <v>0</v>
      </c>
    </row>
    <row r="45" spans="1:8">
      <c r="A45" s="1" t="s">
        <v>45</v>
      </c>
      <c r="B45" s="2">
        <v>0.3192174136638641</v>
      </c>
      <c r="C45" s="1">
        <v>124</v>
      </c>
      <c r="D45" s="1">
        <v>0</v>
      </c>
      <c r="E45" s="1">
        <v>124</v>
      </c>
      <c r="F45" s="1">
        <v>0</v>
      </c>
      <c r="G45" s="1">
        <v>0</v>
      </c>
      <c r="H45" s="1">
        <v>0</v>
      </c>
    </row>
    <row r="46" spans="1:8">
      <c r="A46" s="1" t="s">
        <v>46</v>
      </c>
      <c r="B46" s="2">
        <v>0.3140687346458435</v>
      </c>
      <c r="C46" s="1">
        <v>122</v>
      </c>
      <c r="D46" s="1">
        <v>0</v>
      </c>
      <c r="E46" s="1">
        <v>122</v>
      </c>
      <c r="F46" s="1">
        <v>0</v>
      </c>
      <c r="G46" s="1">
        <v>0</v>
      </c>
      <c r="H46" s="1">
        <v>0</v>
      </c>
    </row>
    <row r="47" spans="1:8">
      <c r="A47" s="1" t="s">
        <v>47</v>
      </c>
      <c r="B47" s="2">
        <v>0.2831767201423645</v>
      </c>
      <c r="C47" s="1">
        <v>110</v>
      </c>
      <c r="D47" s="1">
        <v>0</v>
      </c>
      <c r="E47" s="1">
        <v>110</v>
      </c>
      <c r="F47" s="1">
        <v>0</v>
      </c>
      <c r="G47" s="1">
        <v>0</v>
      </c>
      <c r="H47" s="1">
        <v>0</v>
      </c>
    </row>
    <row r="48" spans="1:8">
      <c r="A48" s="1" t="s">
        <v>22</v>
      </c>
      <c r="B48" s="2">
        <v>0.2728793919086456</v>
      </c>
      <c r="C48" s="1">
        <v>106</v>
      </c>
      <c r="D48" s="1">
        <v>1</v>
      </c>
      <c r="E48" s="1">
        <v>106</v>
      </c>
      <c r="F48" s="1">
        <v>0</v>
      </c>
      <c r="G48" s="1">
        <v>0</v>
      </c>
      <c r="H48" s="1">
        <v>1</v>
      </c>
    </row>
    <row r="49" spans="1:8">
      <c r="A49" s="1" t="s">
        <v>48</v>
      </c>
      <c r="B49" s="2">
        <v>0.2574333846569061</v>
      </c>
      <c r="C49" s="1">
        <v>100</v>
      </c>
      <c r="D49" s="1">
        <v>0</v>
      </c>
      <c r="E49" s="1">
        <v>100</v>
      </c>
      <c r="F49" s="1">
        <v>0</v>
      </c>
      <c r="G49" s="1">
        <v>0</v>
      </c>
      <c r="H49" s="1">
        <v>0</v>
      </c>
    </row>
    <row r="50" spans="1:8">
      <c r="A50" s="1" t="s">
        <v>49</v>
      </c>
      <c r="B50" s="2">
        <v>0.2522847354412079</v>
      </c>
      <c r="C50" s="1">
        <v>98</v>
      </c>
      <c r="D50" s="1">
        <v>0</v>
      </c>
      <c r="E50" s="1">
        <v>98</v>
      </c>
      <c r="F50" s="1">
        <v>0</v>
      </c>
      <c r="G50" s="1">
        <v>0</v>
      </c>
      <c r="H50" s="1">
        <v>0</v>
      </c>
    </row>
    <row r="51" spans="1:8">
      <c r="A51" s="1" t="s">
        <v>50</v>
      </c>
      <c r="B51" s="2">
        <v>0.2522847354412079</v>
      </c>
      <c r="C51" s="1">
        <v>98</v>
      </c>
      <c r="D51" s="1">
        <v>0</v>
      </c>
      <c r="E51" s="1">
        <v>98</v>
      </c>
      <c r="F51" s="1">
        <v>0</v>
      </c>
      <c r="G51" s="1">
        <v>0</v>
      </c>
      <c r="H51" s="1">
        <v>0</v>
      </c>
    </row>
    <row r="52" spans="1:8">
      <c r="A52" s="1" t="s">
        <v>51</v>
      </c>
      <c r="B52" s="2">
        <v>0.2213927209377289</v>
      </c>
      <c r="C52" s="1">
        <v>86</v>
      </c>
      <c r="D52" s="1">
        <v>0</v>
      </c>
      <c r="E52" s="1">
        <v>86</v>
      </c>
      <c r="F52" s="1">
        <v>0</v>
      </c>
      <c r="G52" s="1">
        <v>0</v>
      </c>
      <c r="H52" s="1">
        <v>0</v>
      </c>
    </row>
    <row r="53" spans="1:8">
      <c r="A53" s="1" t="s">
        <v>18</v>
      </c>
      <c r="B53" s="2">
        <v>0.2162440419197083</v>
      </c>
      <c r="C53" s="1">
        <v>84</v>
      </c>
      <c r="D53" s="1">
        <v>4</v>
      </c>
      <c r="E53" s="1">
        <v>84</v>
      </c>
      <c r="F53" s="1">
        <v>0</v>
      </c>
      <c r="G53" s="1">
        <v>0</v>
      </c>
      <c r="H53" s="1">
        <v>4</v>
      </c>
    </row>
    <row r="54" spans="1:8">
      <c r="A54" s="1" t="s">
        <v>52</v>
      </c>
      <c r="B54" s="2">
        <v>0.1699060350656509</v>
      </c>
      <c r="C54" s="1">
        <v>66</v>
      </c>
      <c r="D54" s="1">
        <v>0</v>
      </c>
      <c r="E54" s="1">
        <v>66</v>
      </c>
      <c r="F54" s="1">
        <v>0</v>
      </c>
      <c r="G54" s="1">
        <v>0</v>
      </c>
      <c r="H54" s="1">
        <v>0</v>
      </c>
    </row>
    <row r="55" spans="1:8">
      <c r="A55" s="1" t="s">
        <v>53</v>
      </c>
      <c r="B55" s="2">
        <v>0.1647573709487915</v>
      </c>
      <c r="C55" s="1">
        <v>64</v>
      </c>
      <c r="D55" s="1">
        <v>0</v>
      </c>
      <c r="E55" s="1">
        <v>64</v>
      </c>
      <c r="F55" s="1">
        <v>0</v>
      </c>
      <c r="G55" s="1">
        <v>0</v>
      </c>
      <c r="H55" s="1">
        <v>0</v>
      </c>
    </row>
    <row r="56" spans="1:8">
      <c r="A56" s="1" t="s">
        <v>54</v>
      </c>
      <c r="B56" s="2">
        <v>0.1441626995801926</v>
      </c>
      <c r="C56" s="1">
        <v>56</v>
      </c>
      <c r="D56" s="1">
        <v>0</v>
      </c>
      <c r="E56" s="1">
        <v>56</v>
      </c>
      <c r="F56" s="1">
        <v>0</v>
      </c>
      <c r="G56" s="1">
        <v>0</v>
      </c>
      <c r="H56" s="1">
        <v>0</v>
      </c>
    </row>
    <row r="57" spans="1:8">
      <c r="A57" s="1" t="s">
        <v>55</v>
      </c>
      <c r="B57" s="2">
        <v>0.1287166923284531</v>
      </c>
      <c r="C57" s="1">
        <v>50</v>
      </c>
      <c r="D57" s="1">
        <v>0</v>
      </c>
      <c r="E57" s="1">
        <v>50</v>
      </c>
      <c r="F57" s="1">
        <v>0</v>
      </c>
      <c r="G57" s="1">
        <v>0</v>
      </c>
      <c r="H57" s="1">
        <v>0</v>
      </c>
    </row>
    <row r="58" spans="1:8">
      <c r="A58" s="1" t="s">
        <v>56</v>
      </c>
      <c r="B58" s="2">
        <v>0.1287166923284531</v>
      </c>
      <c r="C58" s="1">
        <v>50</v>
      </c>
      <c r="D58" s="1">
        <v>0</v>
      </c>
      <c r="E58" s="1">
        <v>50</v>
      </c>
      <c r="F58" s="1">
        <v>0</v>
      </c>
      <c r="G58" s="1">
        <v>0</v>
      </c>
      <c r="H58" s="1">
        <v>0</v>
      </c>
    </row>
    <row r="59" spans="1:8">
      <c r="A59" s="1" t="s">
        <v>57</v>
      </c>
      <c r="B59" s="2">
        <v>0.1235680282115936</v>
      </c>
      <c r="C59" s="1">
        <v>48</v>
      </c>
      <c r="D59" s="1">
        <v>0</v>
      </c>
      <c r="E59" s="1">
        <v>48</v>
      </c>
      <c r="F59" s="1">
        <v>0</v>
      </c>
      <c r="G59" s="1">
        <v>0</v>
      </c>
      <c r="H59" s="1">
        <v>0</v>
      </c>
    </row>
    <row r="60" spans="1:8">
      <c r="A60" s="1" t="s">
        <v>58</v>
      </c>
      <c r="B60" s="2">
        <v>0.1235680282115936</v>
      </c>
      <c r="C60" s="1">
        <v>48</v>
      </c>
      <c r="D60" s="1">
        <v>0</v>
      </c>
      <c r="E60" s="1">
        <v>48</v>
      </c>
      <c r="F60" s="1">
        <v>0</v>
      </c>
      <c r="G60" s="1">
        <v>0</v>
      </c>
      <c r="H60" s="1">
        <v>0</v>
      </c>
    </row>
    <row r="61" spans="1:8">
      <c r="A61" s="1" t="s">
        <v>59</v>
      </c>
      <c r="B61" s="2">
        <v>0.1132706925272942</v>
      </c>
      <c r="C61" s="1">
        <v>44</v>
      </c>
      <c r="D61" s="1">
        <v>0</v>
      </c>
      <c r="E61" s="1">
        <v>44</v>
      </c>
      <c r="F61" s="1">
        <v>0</v>
      </c>
      <c r="G61" s="1">
        <v>0</v>
      </c>
      <c r="H61" s="1">
        <v>0</v>
      </c>
    </row>
    <row r="62" spans="1:8">
      <c r="A62" s="1" t="s">
        <v>60</v>
      </c>
      <c r="B62" s="2">
        <v>0.1029733568429947</v>
      </c>
      <c r="C62" s="1">
        <v>40</v>
      </c>
      <c r="D62" s="1">
        <v>0</v>
      </c>
      <c r="E62" s="1">
        <v>40</v>
      </c>
      <c r="F62" s="1">
        <v>0</v>
      </c>
      <c r="G62" s="1">
        <v>0</v>
      </c>
      <c r="H62" s="1">
        <v>0</v>
      </c>
    </row>
    <row r="63" spans="1:8">
      <c r="A63" s="1" t="s">
        <v>61</v>
      </c>
      <c r="B63" s="2">
        <v>0.1029733568429947</v>
      </c>
      <c r="C63" s="1">
        <v>40</v>
      </c>
      <c r="D63" s="1">
        <v>0</v>
      </c>
      <c r="E63" s="1">
        <v>40</v>
      </c>
      <c r="F63" s="1">
        <v>0</v>
      </c>
      <c r="G63" s="1">
        <v>0</v>
      </c>
      <c r="H63" s="1">
        <v>0</v>
      </c>
    </row>
    <row r="64" spans="1:8">
      <c r="A64" s="1" t="s">
        <v>62</v>
      </c>
      <c r="B64" s="2">
        <v>0.1029733568429947</v>
      </c>
      <c r="C64" s="1">
        <v>40</v>
      </c>
      <c r="D64" s="1">
        <v>0</v>
      </c>
      <c r="E64" s="1">
        <v>40</v>
      </c>
      <c r="F64" s="1">
        <v>0</v>
      </c>
      <c r="G64" s="1">
        <v>0</v>
      </c>
      <c r="H64" s="1">
        <v>0</v>
      </c>
    </row>
    <row r="65" spans="1:8">
      <c r="A65" s="1" t="s">
        <v>63</v>
      </c>
      <c r="B65" s="2">
        <v>0.09782468527555466</v>
      </c>
      <c r="C65" s="1">
        <v>38</v>
      </c>
      <c r="D65" s="1">
        <v>0</v>
      </c>
      <c r="E65" s="1">
        <v>38</v>
      </c>
      <c r="F65" s="1">
        <v>0</v>
      </c>
      <c r="G65" s="1">
        <v>0</v>
      </c>
      <c r="H65" s="1">
        <v>0</v>
      </c>
    </row>
    <row r="66" spans="1:8">
      <c r="A66" s="1" t="s">
        <v>64</v>
      </c>
      <c r="B66" s="2">
        <v>0.09267602115869522</v>
      </c>
      <c r="C66" s="1">
        <v>36</v>
      </c>
      <c r="D66" s="1">
        <v>0</v>
      </c>
      <c r="E66" s="1">
        <v>36</v>
      </c>
      <c r="F66" s="1">
        <v>0</v>
      </c>
      <c r="G66" s="1">
        <v>0</v>
      </c>
      <c r="H66" s="1">
        <v>0</v>
      </c>
    </row>
    <row r="67" spans="1:8">
      <c r="A67" s="1" t="s">
        <v>65</v>
      </c>
      <c r="B67" s="2">
        <v>0.09267602115869522</v>
      </c>
      <c r="C67" s="1">
        <v>36</v>
      </c>
      <c r="D67" s="1">
        <v>0</v>
      </c>
      <c r="E67" s="1">
        <v>36</v>
      </c>
      <c r="F67" s="1">
        <v>0</v>
      </c>
      <c r="G67" s="1">
        <v>0</v>
      </c>
      <c r="H67" s="1">
        <v>0</v>
      </c>
    </row>
    <row r="68" spans="1:8">
      <c r="A68" s="1" t="s">
        <v>66</v>
      </c>
      <c r="B68" s="2">
        <v>0.08237868547439575</v>
      </c>
      <c r="C68" s="1">
        <v>32</v>
      </c>
      <c r="D68" s="1">
        <v>0</v>
      </c>
      <c r="E68" s="1">
        <v>32</v>
      </c>
      <c r="F68" s="1">
        <v>0</v>
      </c>
      <c r="G68" s="1">
        <v>0</v>
      </c>
      <c r="H68" s="1">
        <v>0</v>
      </c>
    </row>
    <row r="69" spans="1:8">
      <c r="A69" s="1" t="s">
        <v>67</v>
      </c>
      <c r="B69" s="2">
        <v>0.07723001390695572</v>
      </c>
      <c r="C69" s="1">
        <v>30</v>
      </c>
      <c r="D69" s="1">
        <v>0</v>
      </c>
      <c r="E69" s="1">
        <v>30</v>
      </c>
      <c r="F69" s="1">
        <v>0</v>
      </c>
      <c r="G69" s="1">
        <v>0</v>
      </c>
      <c r="H69" s="1">
        <v>0</v>
      </c>
    </row>
    <row r="70" spans="1:8">
      <c r="A70" s="1" t="s">
        <v>68</v>
      </c>
      <c r="B70" s="2">
        <v>0.07723001390695572</v>
      </c>
      <c r="C70" s="1">
        <v>30</v>
      </c>
      <c r="D70" s="1">
        <v>0</v>
      </c>
      <c r="E70" s="1">
        <v>30</v>
      </c>
      <c r="F70" s="1">
        <v>0</v>
      </c>
      <c r="G70" s="1">
        <v>0</v>
      </c>
      <c r="H70" s="1">
        <v>0</v>
      </c>
    </row>
    <row r="71" spans="1:8">
      <c r="A71" s="1" t="s">
        <v>69</v>
      </c>
      <c r="B71" s="2">
        <v>0.07208134979009628</v>
      </c>
      <c r="C71" s="1">
        <v>28</v>
      </c>
      <c r="D71" s="1">
        <v>0</v>
      </c>
      <c r="E71" s="1">
        <v>28</v>
      </c>
      <c r="F71" s="1">
        <v>0</v>
      </c>
      <c r="G71" s="1">
        <v>0</v>
      </c>
      <c r="H71" s="1">
        <v>0</v>
      </c>
    </row>
    <row r="72" spans="1:8">
      <c r="A72" s="1" t="s">
        <v>70</v>
      </c>
      <c r="B72" s="2">
        <v>0.07208134979009628</v>
      </c>
      <c r="C72" s="1">
        <v>28</v>
      </c>
      <c r="D72" s="1">
        <v>0</v>
      </c>
      <c r="E72" s="1">
        <v>28</v>
      </c>
      <c r="F72" s="1">
        <v>0</v>
      </c>
      <c r="G72" s="1">
        <v>0</v>
      </c>
      <c r="H72" s="1">
        <v>0</v>
      </c>
    </row>
    <row r="73" spans="1:8">
      <c r="A73" s="1" t="s">
        <v>71</v>
      </c>
      <c r="B73" s="2">
        <v>0.07208134979009628</v>
      </c>
      <c r="C73" s="1">
        <v>28</v>
      </c>
      <c r="D73" s="1">
        <v>0</v>
      </c>
      <c r="E73" s="1">
        <v>28</v>
      </c>
      <c r="F73" s="1">
        <v>0</v>
      </c>
      <c r="G73" s="1">
        <v>0</v>
      </c>
      <c r="H73" s="1">
        <v>0</v>
      </c>
    </row>
    <row r="74" spans="1:8">
      <c r="A74" s="1" t="s">
        <v>72</v>
      </c>
      <c r="B74" s="2">
        <v>0.07208134979009628</v>
      </c>
      <c r="C74" s="1">
        <v>28</v>
      </c>
      <c r="D74" s="1">
        <v>0</v>
      </c>
      <c r="E74" s="1">
        <v>28</v>
      </c>
      <c r="F74" s="1">
        <v>0</v>
      </c>
      <c r="G74" s="1">
        <v>0</v>
      </c>
      <c r="H74" s="1">
        <v>0</v>
      </c>
    </row>
    <row r="75" spans="1:8">
      <c r="A75" s="1" t="s">
        <v>73</v>
      </c>
      <c r="B75" s="2">
        <v>0.07208134979009628</v>
      </c>
      <c r="C75" s="1">
        <v>28</v>
      </c>
      <c r="D75" s="1">
        <v>0</v>
      </c>
      <c r="E75" s="1">
        <v>28</v>
      </c>
      <c r="F75" s="1">
        <v>0</v>
      </c>
      <c r="G75" s="1">
        <v>0</v>
      </c>
      <c r="H75" s="1">
        <v>0</v>
      </c>
    </row>
    <row r="76" spans="1:8">
      <c r="A76" s="1" t="s">
        <v>74</v>
      </c>
      <c r="B76" s="2">
        <v>0.07208134979009628</v>
      </c>
      <c r="C76" s="1">
        <v>28</v>
      </c>
      <c r="D76" s="1">
        <v>0</v>
      </c>
      <c r="E76" s="1">
        <v>28</v>
      </c>
      <c r="F76" s="1">
        <v>0</v>
      </c>
      <c r="G76" s="1">
        <v>0</v>
      </c>
      <c r="H76" s="1">
        <v>0</v>
      </c>
    </row>
    <row r="77" spans="1:8">
      <c r="A77" s="1" t="s">
        <v>75</v>
      </c>
      <c r="B77" s="2">
        <v>0.07208134979009628</v>
      </c>
      <c r="C77" s="1">
        <v>28</v>
      </c>
      <c r="D77" s="1">
        <v>0</v>
      </c>
      <c r="E77" s="1">
        <v>28</v>
      </c>
      <c r="F77" s="1">
        <v>0</v>
      </c>
      <c r="G77" s="1">
        <v>0</v>
      </c>
      <c r="H77" s="1">
        <v>0</v>
      </c>
    </row>
    <row r="78" spans="1:8">
      <c r="A78" s="1" t="s">
        <v>76</v>
      </c>
      <c r="B78" s="2">
        <v>0.06693267822265625</v>
      </c>
      <c r="C78" s="1">
        <v>26</v>
      </c>
      <c r="D78" s="1">
        <v>0</v>
      </c>
      <c r="E78" s="1">
        <v>26</v>
      </c>
      <c r="F78" s="1">
        <v>0</v>
      </c>
      <c r="G78" s="1">
        <v>0</v>
      </c>
      <c r="H78" s="1">
        <v>0</v>
      </c>
    </row>
    <row r="79" spans="1:8">
      <c r="A79" s="1" t="s">
        <v>77</v>
      </c>
      <c r="B79" s="2">
        <v>0.04633801057934761</v>
      </c>
      <c r="C79" s="1">
        <v>18</v>
      </c>
      <c r="D79" s="1">
        <v>0</v>
      </c>
      <c r="E79" s="1">
        <v>18</v>
      </c>
      <c r="F79" s="1">
        <v>0</v>
      </c>
      <c r="G79" s="1">
        <v>0</v>
      </c>
      <c r="H79" s="1">
        <v>0</v>
      </c>
    </row>
    <row r="80" spans="1:8">
      <c r="A80" s="1" t="s">
        <v>78</v>
      </c>
      <c r="B80" s="2">
        <v>0.03604067489504814</v>
      </c>
      <c r="C80" s="1">
        <v>14</v>
      </c>
      <c r="D80" s="1">
        <v>0</v>
      </c>
      <c r="E80" s="1">
        <v>14</v>
      </c>
      <c r="F80" s="1">
        <v>0</v>
      </c>
      <c r="G80" s="1">
        <v>0</v>
      </c>
      <c r="H80" s="1">
        <v>0</v>
      </c>
    </row>
    <row r="81" spans="1:8">
      <c r="A81" s="1" t="s">
        <v>79</v>
      </c>
      <c r="B81" s="2">
        <v>0.02574333921074867</v>
      </c>
      <c r="C81" s="1">
        <v>10</v>
      </c>
      <c r="D81" s="1">
        <v>0</v>
      </c>
      <c r="E81" s="1">
        <v>10</v>
      </c>
      <c r="F81" s="1">
        <v>0</v>
      </c>
      <c r="G81" s="1">
        <v>0</v>
      </c>
      <c r="H81" s="1">
        <v>0</v>
      </c>
    </row>
    <row r="82" spans="1:8">
      <c r="A82" s="1" t="s">
        <v>80</v>
      </c>
      <c r="B82" s="2">
        <v>0.02059467136859894</v>
      </c>
      <c r="C82" s="1">
        <v>8</v>
      </c>
      <c r="D82" s="1">
        <v>0</v>
      </c>
      <c r="E82" s="1">
        <v>8</v>
      </c>
      <c r="F82" s="1">
        <v>0</v>
      </c>
      <c r="G82" s="1">
        <v>0</v>
      </c>
      <c r="H82" s="1">
        <v>0</v>
      </c>
    </row>
    <row r="83" spans="1:8">
      <c r="A83" s="1" t="s">
        <v>81</v>
      </c>
      <c r="B83" s="2">
        <v>0.02059467136859894</v>
      </c>
      <c r="C83" s="1">
        <v>8</v>
      </c>
      <c r="D83" s="1">
        <v>0</v>
      </c>
      <c r="E83" s="1">
        <v>8</v>
      </c>
      <c r="F83" s="1">
        <v>0</v>
      </c>
      <c r="G83" s="1">
        <v>0</v>
      </c>
      <c r="H83" s="1">
        <v>0</v>
      </c>
    </row>
    <row r="84" spans="1:8">
      <c r="A84" s="1" t="s">
        <v>82</v>
      </c>
      <c r="B84" s="2">
        <v>0.01029733568429947</v>
      </c>
      <c r="C84" s="1">
        <v>4</v>
      </c>
      <c r="D84" s="1">
        <v>0</v>
      </c>
      <c r="E84" s="1">
        <v>4</v>
      </c>
      <c r="F84" s="1">
        <v>0</v>
      </c>
      <c r="G84" s="1">
        <v>0</v>
      </c>
      <c r="H84" s="1">
        <v>0</v>
      </c>
    </row>
    <row r="85" spans="1:8">
      <c r="A85" s="1" t="s">
        <v>83</v>
      </c>
      <c r="B85" s="2">
        <v>0.01029733568429947</v>
      </c>
      <c r="C85" s="1">
        <v>4</v>
      </c>
      <c r="D85" s="1">
        <v>0</v>
      </c>
      <c r="E85" s="1">
        <v>4</v>
      </c>
      <c r="F85" s="1">
        <v>0</v>
      </c>
      <c r="G85" s="1">
        <v>0</v>
      </c>
      <c r="H85" s="1">
        <v>0</v>
      </c>
    </row>
    <row r="86" spans="1:8">
      <c r="A86" t="s">
        <v>85</v>
      </c>
      <c r="B86">
        <f>SUBTOTAL(109,[flash_percent])</f>
        <v>0</v>
      </c>
      <c r="C86">
        <f>SUBTOTAL(109,[flash])</f>
        <v>0</v>
      </c>
      <c r="D86">
        <f>SUBTOTAL(109,[ram])</f>
        <v>0</v>
      </c>
      <c r="E86">
        <f>SUBTOTAL(109,[Code])</f>
        <v>0</v>
      </c>
      <c r="F86">
        <f>SUBTOTAL(109,[RO_data])</f>
        <v>0</v>
      </c>
      <c r="G86">
        <f>SUBTOTAL(109,[RW_data])</f>
        <v>0</v>
      </c>
      <c r="H86">
        <f>SUBTOTAL(109,[ZI_data])</f>
        <v>0</v>
      </c>
    </row>
  </sheetData>
  <pageMargins left="0.7" right="0.7" top="0.75" bottom="0.75" header="0.3" footer="0.3"/>
  <drawing r:id="rId1"/>
  <tableParts count="1">
    <tablePart r:id="rId2"/>
  </tableParts>
</worksheet>
</file>

<file path=docProps/app.xml><?xml version="1.0" encoding="utf-8"?>
<Properties xmlns="http://schemas.openxmlformats.org/officeDocument/2006/extended-properties" xmlns:vt="http://schemas.openxmlformats.org/officeDocument/2006/docPropsVTypes">
  <Application>Microsoft Excel</Application>
  <DocSecurity>0</DocSecurity>
  <ScaleCrop>false</ScaleCrop>
  <HeadingPairs>
    <vt:vector size="2" baseType="variant">
      <vt:variant>
        <vt:lpstr>Worksheets</vt:lpstr>
      </vt:variant>
      <vt:variant>
        <vt:i4>2</vt:i4>
      </vt:variant>
    </vt:vector>
  </HeadingPairs>
  <TitlesOfParts>
    <vt:vector size="2" baseType="lpstr">
      <vt:lpstr>ram_percent</vt:lpstr>
      <vt:lpstr>flash_percent</vt:lpstr>
    </vt:vector>
  </TitlesOfParts>
  <Company/>
  <LinksUpToDate>false</LinksUpToDate>
  <SharedDoc>false</SharedDoc>
  <HyperlinksChanged>false</HyperlinksChanged>
  <AppVersion>12.0000</AppVersion>
</Properties>
</file>

<file path=docProps/core.xml><?xml version="1.0" encoding="utf-8"?>
<cp:coreProperties xmlns:cp="http://schemas.openxmlformats.org/package/2006/metadata/core-properties" xmlns:dc="http://purl.org/dc/elements/1.1/" xmlns:dcterms="http://purl.org/dc/terms/" xmlns:dcmitype="http://purl.org/dc/dcmitype/" xmlns:xsi="http://www.w3.org/2001/XMLSchema-instance">
  <dc:creator/>
  <cp:lastModifiedBy/>
  <dcterms:created xsi:type="dcterms:W3CDTF">2026-04-21T08:35:53Z</dcterms:created>
  <dcterms:modified xsi:type="dcterms:W3CDTF">2026-04-21T08:35:53Z</dcterms:modified>
</cp:coreProperties>
</file>