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<sst xmlns="http://schemas.openxmlformats.org/spreadsheetml/2006/main" count="125" uniqueCount="94">
  <si>
    <t>AT32F415RBT7_WorkBench</t>
  </si>
  <si>
    <t>at32_usart.o</t>
  </si>
  <si>
    <t>eventrecorder.o</t>
  </si>
  <si>
    <t>startup_at32f415.o</t>
  </si>
  <si>
    <t>pc_comm_handle.o</t>
  </si>
  <si>
    <t>ds201_handle.o</t>
  </si>
  <si>
    <t>tmt.o</t>
  </si>
  <si>
    <t>led_handle.o</t>
  </si>
  <si>
    <t>encoderec11.o</t>
  </si>
  <si>
    <t>adc_filter.o</t>
  </si>
  <si>
    <t>output_handle.o</t>
  </si>
  <si>
    <t>pid_handle.o</t>
  </si>
  <si>
    <t>key_handle.o</t>
  </si>
  <si>
    <t>perf_counter.o</t>
  </si>
  <si>
    <t>flash_handle.o</t>
  </si>
  <si>
    <t>beep.o</t>
  </si>
  <si>
    <t>ec11_handle.o</t>
  </si>
  <si>
    <t>at32f415_int.o</t>
  </si>
  <si>
    <t>wk_system.o</t>
  </si>
  <si>
    <t>system_at32f415.o</t>
  </si>
  <si>
    <t>main.o</t>
  </si>
  <si>
    <t>key.o</t>
  </si>
  <si>
    <t>iap.o</t>
  </si>
  <si>
    <t>mf_w.l</t>
  </si>
  <si>
    <t>at32f415_crm.o</t>
  </si>
  <si>
    <t>at32f415_tmr.o</t>
  </si>
  <si>
    <t>at32f415_adc.o</t>
  </si>
  <si>
    <t>at32f415_usart.o</t>
  </si>
  <si>
    <t>at32f415_wk_config.o</t>
  </si>
  <si>
    <t>wk_tmr.o</t>
  </si>
  <si>
    <t>at32f415_gpio.o</t>
  </si>
  <si>
    <t>mc_w.l</t>
  </si>
  <si>
    <t>wk_gpio.o</t>
  </si>
  <si>
    <t>at32f415_misc.o</t>
  </si>
  <si>
    <t>at32f415_flash.o</t>
  </si>
  <si>
    <t>at32f415_dma.o</t>
  </si>
  <si>
    <t>dadd.o</t>
  </si>
  <si>
    <t>util_queue.o</t>
  </si>
  <si>
    <t>wk_adc.o</t>
  </si>
  <si>
    <t>at32f415_crc.o</t>
  </si>
  <si>
    <t>perfc_port_default.o</t>
  </si>
  <si>
    <t>dmul.o</t>
  </si>
  <si>
    <t>ddiv.o</t>
  </si>
  <si>
    <t>wk_usart.o</t>
  </si>
  <si>
    <t>depilogue.o</t>
  </si>
  <si>
    <t>fadd.o</t>
  </si>
  <si>
    <t>fdiv.o</t>
  </si>
  <si>
    <t>at32f415_wdt.o</t>
  </si>
  <si>
    <t>fepilogue.o</t>
  </si>
  <si>
    <t>wk_dma.o</t>
  </si>
  <si>
    <t>fmul.o</t>
  </si>
  <si>
    <t>uldiv.o</t>
  </si>
  <si>
    <t>ldiv.o</t>
  </si>
  <si>
    <t>__dczerorl2.o</t>
  </si>
  <si>
    <t>beep_handle.o</t>
  </si>
  <si>
    <t>d2f.o</t>
  </si>
  <si>
    <t>wk_crc.o</t>
  </si>
  <si>
    <t>ffixi.o</t>
  </si>
  <si>
    <t>dfixui.o</t>
  </si>
  <si>
    <t>flash.o</t>
  </si>
  <si>
    <t>init.o</t>
  </si>
  <si>
    <t>ffixui.o</t>
  </si>
  <si>
    <t>cpp_init.o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</si>
  <si>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</si>
  <si>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</si>
  <si>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</si>
  <si>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</si>
  <si>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</si>
  <si>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</si>
  <si>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</si>
  <si>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</si>
  <si>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</si>
  <si>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</si>
  <si>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</si>
  <si>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systick_wrapper_gnu.o</t>
  </si>
  <si>
    <t>dfltui.o</t>
  </si>
  <si>
    <t>wk_wdt.o</t>
  </si>
  <si>
    <t>fflti.o</t>
  </si>
  <si>
    <t>wk_debug.o</t>
  </si>
  <si>
    <t>ffltui.o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</si>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</sst>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ram_percent!$A$3:$A$86</c:f>
              <c:strCache>
                <c:ptCount val="84"/>
                <c:pt idx="0">
                  <c:v>at32_usart.o</c:v>
                </c:pt>
                <c:pt idx="1">
                  <c:v>eventrecorder.o</c:v>
                </c:pt>
                <c:pt idx="2">
                  <c:v>startup_at32f415.o</c:v>
                </c:pt>
                <c:pt idx="3">
                  <c:v>pc_comm_handle.o</c:v>
                </c:pt>
                <c:pt idx="4">
                  <c:v>ds201_handle.o</c:v>
                </c:pt>
                <c:pt idx="5">
                  <c:v>tmt.o</c:v>
                </c:pt>
                <c:pt idx="6">
                  <c:v>led_handle.o</c:v>
                </c:pt>
                <c:pt idx="7">
                  <c:v>encoderec11.o</c:v>
                </c:pt>
                <c:pt idx="8">
                  <c:v>adc_filter.o</c:v>
                </c:pt>
                <c:pt idx="9">
                  <c:v>output_handle.o</c:v>
                </c:pt>
                <c:pt idx="10">
                  <c:v>pid_handle.o</c:v>
                </c:pt>
                <c:pt idx="11">
                  <c:v>key_handle.o</c:v>
                </c:pt>
                <c:pt idx="12">
                  <c:v>perf_counter.o</c:v>
                </c:pt>
                <c:pt idx="13">
                  <c:v>flash_handle.o</c:v>
                </c:pt>
                <c:pt idx="14">
                  <c:v>beep.o</c:v>
                </c:pt>
                <c:pt idx="15">
                  <c:v>ec11_handle.o</c:v>
                </c:pt>
                <c:pt idx="16">
                  <c:v>at32f415_int.o</c:v>
                </c:pt>
                <c:pt idx="17">
                  <c:v>wk_system.o</c:v>
                </c:pt>
                <c:pt idx="18">
                  <c:v>system_at32f415.o</c:v>
                </c:pt>
                <c:pt idx="19">
                  <c:v>main.o</c:v>
                </c:pt>
                <c:pt idx="20">
                  <c:v>key.o</c:v>
                </c:pt>
                <c:pt idx="21">
                  <c:v>iap.o</c:v>
                </c:pt>
                <c:pt idx="83">
                  <c:v>Totals</c:v>
                </c:pt>
              </c:strCache>
            </c:strRef>
          </c:cat>
          <c:val>
            <c:numRef>
              <c:f>ram_percent!$B$3:$B$86</c:f>
              <c:numCache>
                <c:formatCode>General</c:formatCode>
                <c:ptCount val="84"/>
                <c:pt idx="0">
                  <c:v>34.01007461547852</c:v>
                </c:pt>
                <c:pt idx="1">
                  <c:v>18.13463592529297</c:v>
                </c:pt>
                <c:pt idx="2">
                  <c:v>15.63120174407959</c:v>
                </c:pt>
                <c:pt idx="3">
                  <c:v>8.212486267089844</c:v>
                </c:pt>
                <c:pt idx="4">
                  <c:v>4.396275520324707</c:v>
                </c:pt>
                <c:pt idx="5">
                  <c:v>3.35826587677002</c:v>
                </c:pt>
                <c:pt idx="6">
                  <c:v>2.961380004882813</c:v>
                </c:pt>
                <c:pt idx="7">
                  <c:v>2.610288619995117</c:v>
                </c:pt>
                <c:pt idx="8">
                  <c:v>2.198137760162354</c:v>
                </c:pt>
                <c:pt idx="9">
                  <c:v>2.137078285217285</c:v>
                </c:pt>
                <c:pt idx="10">
                  <c:v>2.014959573745728</c:v>
                </c:pt>
                <c:pt idx="11">
                  <c:v>1.572279095649719</c:v>
                </c:pt>
                <c:pt idx="12">
                  <c:v>1.160128235816956</c:v>
                </c:pt>
                <c:pt idx="13">
                  <c:v>0.6869180202484131</c:v>
                </c:pt>
                <c:pt idx="14">
                  <c:v>0.2595023512840271</c:v>
                </c:pt>
                <c:pt idx="15">
                  <c:v>0.2442375272512436</c:v>
                </c:pt>
                <c:pt idx="16">
                  <c:v>0.2289726734161377</c:v>
                </c:pt>
                <c:pt idx="17">
                  <c:v>0.0610593818128109</c:v>
                </c:pt>
                <c:pt idx="18">
                  <c:v>0.0610593818128109</c:v>
                </c:pt>
                <c:pt idx="19">
                  <c:v>0.03052969090640545</c:v>
                </c:pt>
                <c:pt idx="20">
                  <c:v>0.01526484545320272</c:v>
                </c:pt>
                <c:pt idx="21">
                  <c:v>0.01526484545320272</c:v>
                </c:pt>
                <c:pt idx="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flash_percent!$A$3:$A$86</c:f>
              <c:strCache>
                <c:ptCount val="84"/>
                <c:pt idx="0">
                  <c:v>ec11_handle.o</c:v>
                </c:pt>
                <c:pt idx="1">
                  <c:v>output_handle.o</c:v>
                </c:pt>
                <c:pt idx="2">
                  <c:v>flash_handle.o</c:v>
                </c:pt>
                <c:pt idx="3">
                  <c:v>led_handle.o</c:v>
                </c:pt>
                <c:pt idx="4">
                  <c:v>key_handle.o</c:v>
                </c:pt>
                <c:pt idx="5">
                  <c:v>mf_w.l</c:v>
                </c:pt>
                <c:pt idx="6">
                  <c:v>at32f415_crm.o</c:v>
                </c:pt>
                <c:pt idx="7">
                  <c:v>eventrecorder.o</c:v>
                </c:pt>
                <c:pt idx="8">
                  <c:v>encoderec11.o</c:v>
                </c:pt>
                <c:pt idx="9">
                  <c:v>at32f415_tmr.o</c:v>
                </c:pt>
                <c:pt idx="10">
                  <c:v>tmt.o</c:v>
                </c:pt>
                <c:pt idx="11">
                  <c:v>perf_counter.o</c:v>
                </c:pt>
                <c:pt idx="12">
                  <c:v>at32_usart.o</c:v>
                </c:pt>
                <c:pt idx="13">
                  <c:v>at32f415_adc.o</c:v>
                </c:pt>
                <c:pt idx="14">
                  <c:v>at32f415_int.o</c:v>
                </c:pt>
                <c:pt idx="15">
                  <c:v>system_at32f415.o</c:v>
                </c:pt>
                <c:pt idx="16">
                  <c:v>pc_comm_handle.o</c:v>
                </c:pt>
                <c:pt idx="17">
                  <c:v>at32f415_usart.o</c:v>
                </c:pt>
                <c:pt idx="18">
                  <c:v>at32f415_wk_config.o</c:v>
                </c:pt>
                <c:pt idx="19">
                  <c:v>main.o</c:v>
                </c:pt>
                <c:pt idx="20">
                  <c:v>wk_tmr.o</c:v>
                </c:pt>
                <c:pt idx="21">
                  <c:v>at32f415_gpio.o</c:v>
                </c:pt>
                <c:pt idx="22">
                  <c:v>mc_w.l</c:v>
                </c:pt>
                <c:pt idx="23">
                  <c:v>wk_gpio.o</c:v>
                </c:pt>
                <c:pt idx="24">
                  <c:v>at32f415_misc.o</c:v>
                </c:pt>
                <c:pt idx="25">
                  <c:v>pid_handle.o</c:v>
                </c:pt>
                <c:pt idx="26">
                  <c:v>at32f415_flash.o</c:v>
                </c:pt>
                <c:pt idx="27">
                  <c:v>at32f415_dma.o</c:v>
                </c:pt>
                <c:pt idx="28">
                  <c:v>startup_at32f415.o</c:v>
                </c:pt>
                <c:pt idx="29">
                  <c:v>ds201_handle.o</c:v>
                </c:pt>
                <c:pt idx="30">
                  <c:v>adc_filter.o</c:v>
                </c:pt>
                <c:pt idx="31">
                  <c:v>dadd.o</c:v>
                </c:pt>
                <c:pt idx="32">
                  <c:v>beep.o</c:v>
                </c:pt>
                <c:pt idx="33">
                  <c:v>util_queue.o</c:v>
                </c:pt>
                <c:pt idx="34">
                  <c:v>key.o</c:v>
                </c:pt>
                <c:pt idx="35">
                  <c:v>wk_adc.o</c:v>
                </c:pt>
                <c:pt idx="36">
                  <c:v>at32f415_crc.o</c:v>
                </c:pt>
                <c:pt idx="37">
                  <c:v>perfc_port_default.o</c:v>
                </c:pt>
                <c:pt idx="38">
                  <c:v>dmul.o</c:v>
                </c:pt>
                <c:pt idx="39">
                  <c:v>ddiv.o</c:v>
                </c:pt>
                <c:pt idx="40">
                  <c:v>wk_usart.o</c:v>
                </c:pt>
                <c:pt idx="41">
                  <c:v>depilogue.o</c:v>
                </c:pt>
                <c:pt idx="42">
                  <c:v>fadd.o</c:v>
                </c:pt>
                <c:pt idx="43">
                  <c:v>fdiv.o</c:v>
                </c:pt>
                <c:pt idx="44">
                  <c:v>at32f415_wdt.o</c:v>
                </c:pt>
                <c:pt idx="45">
                  <c:v>wk_system.o</c:v>
                </c:pt>
                <c:pt idx="46">
                  <c:v>iap.o</c:v>
                </c:pt>
                <c:pt idx="47">
                  <c:v>fepilogue.o</c:v>
                </c:pt>
                <c:pt idx="48">
                  <c:v>wk_dma.o</c:v>
                </c:pt>
                <c:pt idx="49">
                  <c:v>fmul.o</c:v>
                </c:pt>
                <c:pt idx="50">
                  <c:v>uldiv.o</c:v>
                </c:pt>
                <c:pt idx="51">
                  <c:v>ldiv.o</c:v>
                </c:pt>
                <c:pt idx="52">
                  <c:v>__dczerorl2.o</c:v>
                </c:pt>
                <c:pt idx="53">
                  <c:v>beep_handle.o</c:v>
                </c:pt>
                <c:pt idx="54">
                  <c:v>d2f.o</c:v>
                </c:pt>
                <c:pt idx="55">
                  <c:v>wk_crc.o</c:v>
                </c:pt>
                <c:pt idx="56">
                  <c:v>ffixi.o</c:v>
                </c:pt>
                <c:pt idx="57">
                  <c:v>dfixui.o</c:v>
                </c:pt>
                <c:pt idx="58">
                  <c:v>flash.o</c:v>
                </c:pt>
                <c:pt idx="59">
                  <c:v>init.o</c:v>
                </c:pt>
                <c:pt idx="60">
                  <c:v>ffixui.o</c:v>
                </c:pt>
                <c:pt idx="61">
                  <c:v>cpp_init.o</c:v>
                </c:pt>
                <c:pt idx="62">
                  <c:v>f2d.o</c:v>
                </c:pt>
                <c:pt idx="63">
                  <c:v>memseta.o</c:v>
                </c:pt>
                <c:pt idx="64">
                  <c:v>llsshr.o</c:v>
                </c:pt>
                <c:pt idx="65">
                  <c:v>llushr.o</c:v>
                </c:pt>
                <c:pt idx="66">
                  <c:v>llshl.o</c:v>
                </c:pt>
                <c:pt idx="67">
                  <c:v>handlers.o</c:v>
                </c:pt>
                <c:pt idx="68">
                  <c:v>fcmplt.o</c:v>
                </c:pt>
                <c:pt idx="69">
                  <c:v>fcmple.o</c:v>
                </c:pt>
                <c:pt idx="70">
                  <c:v>fcmpgt.o</c:v>
                </c:pt>
                <c:pt idx="71">
                  <c:v>fcmpge.o</c:v>
                </c:pt>
                <c:pt idx="72">
                  <c:v>fcmpeq.o</c:v>
                </c:pt>
                <c:pt idx="73">
                  <c:v>systick_wrapper_gnu.o</c:v>
                </c:pt>
                <c:pt idx="74">
                  <c:v>dfltui.o</c:v>
                </c:pt>
                <c:pt idx="75">
                  <c:v>wk_wdt.o</c:v>
                </c:pt>
                <c:pt idx="76">
                  <c:v>fflti.o</c:v>
                </c:pt>
                <c:pt idx="77">
                  <c:v>wk_debug.o</c:v>
                </c:pt>
                <c:pt idx="78">
                  <c:v>ffltui.o</c:v>
                </c:pt>
                <c:pt idx="79">
                  <c:v>entry9a.o</c:v>
                </c:pt>
                <c:pt idx="80">
                  <c:v>entry2.o</c:v>
                </c:pt>
                <c:pt idx="81">
                  <c:v>entry8a.o</c:v>
                </c:pt>
                <c:pt idx="82">
                  <c:v>entry5.o</c:v>
                </c:pt>
                <c:pt idx="83">
                  <c:v>Totals</c:v>
                </c:pt>
              </c:strCache>
            </c:strRef>
          </c:cat>
          <c:val>
            <c:numRef>
              <c:f>flash_percent!$B$3:$B$86</c:f>
              <c:numCache>
                <c:formatCode>General</c:formatCode>
                <c:ptCount val="84"/>
                <c:pt idx="0">
                  <c:v>16.9409122467041</c:v>
                </c:pt>
                <c:pt idx="1">
                  <c:v>12.71503353118897</c:v>
                </c:pt>
                <c:pt idx="2">
                  <c:v>9.213947296142578</c:v>
                </c:pt>
                <c:pt idx="3">
                  <c:v>9.171207427978516</c:v>
                </c:pt>
                <c:pt idx="4">
                  <c:v>3.41560697555542</c:v>
                </c:pt>
                <c:pt idx="5">
                  <c:v>3.397799015045166</c:v>
                </c:pt>
                <c:pt idx="6">
                  <c:v>3.084375143051148</c:v>
                </c:pt>
                <c:pt idx="7">
                  <c:v>3.023827314376831</c:v>
                </c:pt>
                <c:pt idx="8">
                  <c:v>2.738896608352661</c:v>
                </c:pt>
                <c:pt idx="9">
                  <c:v>2.361363410949707</c:v>
                </c:pt>
                <c:pt idx="10">
                  <c:v>2.001638412475586</c:v>
                </c:pt>
                <c:pt idx="11">
                  <c:v>1.930405616760254</c:v>
                </c:pt>
                <c:pt idx="12">
                  <c:v>1.926844000816345</c:v>
                </c:pt>
                <c:pt idx="13">
                  <c:v>1.624105095863342</c:v>
                </c:pt>
                <c:pt idx="14">
                  <c:v>1.460269927978516</c:v>
                </c:pt>
                <c:pt idx="15">
                  <c:v>1.410407066345215</c:v>
                </c:pt>
                <c:pt idx="16">
                  <c:v>1.405064702033997</c:v>
                </c:pt>
                <c:pt idx="17">
                  <c:v>1.342736005783081</c:v>
                </c:pt>
                <c:pt idx="18">
                  <c:v>1.321366190910339</c:v>
                </c:pt>
                <c:pt idx="19">
                  <c:v>1.257256865501404</c:v>
                </c:pt>
                <c:pt idx="20">
                  <c:v>1.207394003868103</c:v>
                </c:pt>
                <c:pt idx="21">
                  <c:v>1.072051882743835</c:v>
                </c:pt>
                <c:pt idx="22">
                  <c:v>0.9936959147453308</c:v>
                </c:pt>
                <c:pt idx="23">
                  <c:v>0.9224632382392883</c:v>
                </c:pt>
                <c:pt idx="24">
                  <c:v>0.8975318074226379</c:v>
                </c:pt>
                <c:pt idx="25">
                  <c:v>0.8334223628044128</c:v>
                </c:pt>
                <c:pt idx="26">
                  <c:v>0.8262991309165955</c:v>
                </c:pt>
                <c:pt idx="27">
                  <c:v>0.7693129777908325</c:v>
                </c:pt>
                <c:pt idx="28">
                  <c:v>0.719450056552887</c:v>
                </c:pt>
                <c:pt idx="29">
                  <c:v>0.6695871949195862</c:v>
                </c:pt>
                <c:pt idx="30">
                  <c:v>0.5983545184135437</c:v>
                </c:pt>
                <c:pt idx="31">
                  <c:v>0.594792902469635</c:v>
                </c:pt>
                <c:pt idx="32">
                  <c:v>0.553834080696106</c:v>
                </c:pt>
                <c:pt idx="33">
                  <c:v>0.4986287653446198</c:v>
                </c:pt>
                <c:pt idx="34">
                  <c:v>0.4469850659370422</c:v>
                </c:pt>
                <c:pt idx="35">
                  <c:v>0.4238344430923462</c:v>
                </c:pt>
                <c:pt idx="36">
                  <c:v>0.4238344430923462</c:v>
                </c:pt>
                <c:pt idx="37">
                  <c:v>0.4095879197120667</c:v>
                </c:pt>
                <c:pt idx="38">
                  <c:v>0.4060262739658356</c:v>
                </c:pt>
                <c:pt idx="39">
                  <c:v>0.3953413963317871</c:v>
                </c:pt>
                <c:pt idx="40">
                  <c:v>0.3526017665863037</c:v>
                </c:pt>
                <c:pt idx="41">
                  <c:v>0.3312319815158844</c:v>
                </c:pt>
                <c:pt idx="42">
                  <c:v>0.3134238123893738</c:v>
                </c:pt>
                <c:pt idx="43">
                  <c:v>0.2208213061094284</c:v>
                </c:pt>
                <c:pt idx="44">
                  <c:v>0.2101364135742188</c:v>
                </c:pt>
                <c:pt idx="45">
                  <c:v>0.2065747827291489</c:v>
                </c:pt>
                <c:pt idx="46">
                  <c:v>0.2065747827291489</c:v>
                </c:pt>
                <c:pt idx="47">
                  <c:v>0.195889875292778</c:v>
                </c:pt>
                <c:pt idx="48">
                  <c:v>0.1923282444477081</c:v>
                </c:pt>
                <c:pt idx="49">
                  <c:v>0.1780817061662674</c:v>
                </c:pt>
                <c:pt idx="50">
                  <c:v>0.1745200753211975</c:v>
                </c:pt>
                <c:pt idx="51">
                  <c:v>0.1745200753211975</c:v>
                </c:pt>
                <c:pt idx="52">
                  <c:v>0.1531502604484558</c:v>
                </c:pt>
                <c:pt idx="53">
                  <c:v>0.1210955604910851</c:v>
                </c:pt>
                <c:pt idx="54">
                  <c:v>0.09972575306892395</c:v>
                </c:pt>
                <c:pt idx="55">
                  <c:v>0.09260248392820358</c:v>
                </c:pt>
                <c:pt idx="56">
                  <c:v>0.0890408530831337</c:v>
                </c:pt>
                <c:pt idx="57">
                  <c:v>0.0890408530831337</c:v>
                </c:pt>
                <c:pt idx="58">
                  <c:v>0.0890408530831337</c:v>
                </c:pt>
                <c:pt idx="59">
                  <c:v>0.08547921478748322</c:v>
                </c:pt>
                <c:pt idx="60">
                  <c:v>0.07123268395662308</c:v>
                </c:pt>
                <c:pt idx="61">
                  <c:v>0.07123268395662308</c:v>
                </c:pt>
                <c:pt idx="62">
                  <c:v>0.0676710456609726</c:v>
                </c:pt>
                <c:pt idx="63">
                  <c:v>0.06410941481590271</c:v>
                </c:pt>
                <c:pt idx="64">
                  <c:v>0.06410941481590271</c:v>
                </c:pt>
                <c:pt idx="65">
                  <c:v>0.05698614567518234</c:v>
                </c:pt>
                <c:pt idx="66">
                  <c:v>0.05342451110482216</c:v>
                </c:pt>
                <c:pt idx="67">
                  <c:v>0.05342451110482216</c:v>
                </c:pt>
                <c:pt idx="68">
                  <c:v>0.04986287653446198</c:v>
                </c:pt>
                <c:pt idx="69">
                  <c:v>0.04986287653446198</c:v>
                </c:pt>
                <c:pt idx="70">
                  <c:v>0.04986287653446198</c:v>
                </c:pt>
                <c:pt idx="71">
                  <c:v>0.04986287653446198</c:v>
                </c:pt>
                <c:pt idx="72">
                  <c:v>0.04986287653446198</c:v>
                </c:pt>
                <c:pt idx="73">
                  <c:v>0.04986287653446198</c:v>
                </c:pt>
                <c:pt idx="74">
                  <c:v>0.04630124196410179</c:v>
                </c:pt>
                <c:pt idx="75">
                  <c:v>0.04630124196410179</c:v>
                </c:pt>
                <c:pt idx="76">
                  <c:v>0.03205470740795136</c:v>
                </c:pt>
                <c:pt idx="77">
                  <c:v>0.03205470740795136</c:v>
                </c:pt>
                <c:pt idx="78">
                  <c:v>0.01780817098915577</c:v>
                </c:pt>
                <c:pt idx="79">
                  <c:v>0.01424653641879559</c:v>
                </c:pt>
                <c:pt idx="80">
                  <c:v>0.01424653641879559</c:v>
                </c:pt>
                <c:pt idx="81">
                  <c:v>0.007123268209397793</c:v>
                </c:pt>
                <c:pt idx="82">
                  <c:v>0.007123268209397793</c:v>
                </c:pt>
                <c:pt idx="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6" totalsRowCount="1">
  <autoFilter ref="A2:H8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6" totalsRowCount="1">
  <autoFilter ref="A2:H8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84</v>
      </c>
      <c r="B2" t="s">
        <v>86</v>
      </c>
      <c r="C2" t="s">
        <v>87</v>
      </c>
      <c r="D2" t="s">
        <v>88</v>
      </c>
      <c r="E2" t="s">
        <v>89</v>
      </c>
      <c r="F2" t="s">
        <v>90</v>
      </c>
      <c r="G2" t="s">
        <v>91</v>
      </c>
      <c r="H2" t="s">
        <v>92</v>
      </c>
    </row>
    <row r="3" spans="1:8">
      <c r="A3" s="1" t="s">
        <v>1</v>
      </c>
      <c r="B3" s="2">
        <v>34.01007461547852</v>
      </c>
      <c r="C3" s="1">
        <v>2228</v>
      </c>
      <c r="D3" s="1">
        <v>1082</v>
      </c>
      <c r="E3" s="1">
        <v>1082</v>
      </c>
      <c r="F3" s="1">
        <v>0</v>
      </c>
      <c r="G3" s="1">
        <v>0</v>
      </c>
      <c r="H3" s="1">
        <v>2228</v>
      </c>
    </row>
    <row r="4" spans="1:8">
      <c r="A4" s="1" t="s">
        <v>2</v>
      </c>
      <c r="B4" s="2">
        <v>18.13463592529297</v>
      </c>
      <c r="C4" s="1">
        <v>1188</v>
      </c>
      <c r="D4" s="1">
        <v>1698</v>
      </c>
      <c r="E4" s="1">
        <v>1674</v>
      </c>
      <c r="F4" s="1">
        <v>24</v>
      </c>
      <c r="G4" s="1">
        <v>0</v>
      </c>
      <c r="H4" s="1">
        <v>1188</v>
      </c>
    </row>
    <row r="5" spans="1:8">
      <c r="A5" s="1" t="s">
        <v>3</v>
      </c>
      <c r="B5" s="2">
        <v>15.63120174407959</v>
      </c>
      <c r="C5" s="1">
        <v>1024</v>
      </c>
      <c r="D5" s="1">
        <v>404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8.212486267089844</v>
      </c>
      <c r="C6" s="1">
        <v>538</v>
      </c>
      <c r="D6" s="1">
        <v>789</v>
      </c>
      <c r="E6" s="1">
        <v>788</v>
      </c>
      <c r="F6" s="1">
        <v>0</v>
      </c>
      <c r="G6" s="1">
        <v>1</v>
      </c>
      <c r="H6" s="1">
        <v>537</v>
      </c>
    </row>
    <row r="7" spans="1:8">
      <c r="A7" s="1" t="s">
        <v>5</v>
      </c>
      <c r="B7" s="2">
        <v>4.396275520324707</v>
      </c>
      <c r="C7" s="1">
        <v>288</v>
      </c>
      <c r="D7" s="1">
        <v>376</v>
      </c>
      <c r="E7" s="1">
        <v>376</v>
      </c>
      <c r="F7" s="1">
        <v>0</v>
      </c>
      <c r="G7" s="1">
        <v>0</v>
      </c>
      <c r="H7" s="1">
        <v>288</v>
      </c>
    </row>
    <row r="8" spans="1:8">
      <c r="A8" s="1" t="s">
        <v>6</v>
      </c>
      <c r="B8" s="2">
        <v>3.35826587677002</v>
      </c>
      <c r="C8" s="1">
        <v>220</v>
      </c>
      <c r="D8" s="1">
        <v>1124</v>
      </c>
      <c r="E8" s="1">
        <v>1124</v>
      </c>
      <c r="F8" s="1">
        <v>0</v>
      </c>
      <c r="G8" s="1">
        <v>0</v>
      </c>
      <c r="H8" s="1">
        <v>220</v>
      </c>
    </row>
    <row r="9" spans="1:8">
      <c r="A9" s="1" t="s">
        <v>7</v>
      </c>
      <c r="B9" s="2">
        <v>2.961380004882813</v>
      </c>
      <c r="C9" s="1">
        <v>194</v>
      </c>
      <c r="D9" s="1">
        <v>5150</v>
      </c>
      <c r="E9" s="1">
        <v>4980</v>
      </c>
      <c r="F9" s="1">
        <v>0</v>
      </c>
      <c r="G9" s="1">
        <v>170</v>
      </c>
      <c r="H9" s="1">
        <v>24</v>
      </c>
    </row>
    <row r="10" spans="1:8">
      <c r="A10" s="1" t="s">
        <v>8</v>
      </c>
      <c r="B10" s="2">
        <v>2.610288619995117</v>
      </c>
      <c r="C10" s="1">
        <v>171</v>
      </c>
      <c r="D10" s="1">
        <v>1538</v>
      </c>
      <c r="E10" s="1">
        <v>1370</v>
      </c>
      <c r="F10" s="1">
        <v>0</v>
      </c>
      <c r="G10" s="1">
        <v>168</v>
      </c>
      <c r="H10" s="1">
        <v>3</v>
      </c>
    </row>
    <row r="11" spans="1:8">
      <c r="A11" s="1" t="s">
        <v>9</v>
      </c>
      <c r="B11" s="2">
        <v>2.198137760162354</v>
      </c>
      <c r="C11" s="1">
        <v>144</v>
      </c>
      <c r="D11" s="1">
        <v>336</v>
      </c>
      <c r="E11" s="1">
        <v>336</v>
      </c>
      <c r="F11" s="1">
        <v>0</v>
      </c>
      <c r="G11" s="1">
        <v>0</v>
      </c>
      <c r="H11" s="1">
        <v>144</v>
      </c>
    </row>
    <row r="12" spans="1:8">
      <c r="A12" s="1" t="s">
        <v>10</v>
      </c>
      <c r="B12" s="2">
        <v>2.137078285217285</v>
      </c>
      <c r="C12" s="1">
        <v>140</v>
      </c>
      <c r="D12" s="1">
        <v>7140</v>
      </c>
      <c r="E12" s="1">
        <v>7040</v>
      </c>
      <c r="F12" s="1">
        <v>0</v>
      </c>
      <c r="G12" s="1">
        <v>100</v>
      </c>
      <c r="H12" s="1">
        <v>40</v>
      </c>
    </row>
    <row r="13" spans="1:8">
      <c r="A13" s="1" t="s">
        <v>11</v>
      </c>
      <c r="B13" s="2">
        <v>2.014959573745728</v>
      </c>
      <c r="C13" s="1">
        <v>132</v>
      </c>
      <c r="D13" s="1">
        <v>468</v>
      </c>
      <c r="E13" s="1">
        <v>468</v>
      </c>
      <c r="F13" s="1">
        <v>0</v>
      </c>
      <c r="G13" s="1">
        <v>0</v>
      </c>
      <c r="H13" s="1">
        <v>132</v>
      </c>
    </row>
    <row r="14" spans="1:8">
      <c r="A14" s="1" t="s">
        <v>12</v>
      </c>
      <c r="B14" s="2">
        <v>1.572279095649719</v>
      </c>
      <c r="C14" s="1">
        <v>103</v>
      </c>
      <c r="D14" s="1">
        <v>1918</v>
      </c>
      <c r="E14" s="1">
        <v>1816</v>
      </c>
      <c r="F14" s="1">
        <v>0</v>
      </c>
      <c r="G14" s="1">
        <v>102</v>
      </c>
      <c r="H14" s="1">
        <v>1</v>
      </c>
    </row>
    <row r="15" spans="1:8">
      <c r="A15" s="1" t="s">
        <v>13</v>
      </c>
      <c r="B15" s="2">
        <v>1.160128235816956</v>
      </c>
      <c r="C15" s="1">
        <v>76</v>
      </c>
      <c r="D15" s="1">
        <v>1084</v>
      </c>
      <c r="E15" s="1">
        <v>1072</v>
      </c>
      <c r="F15" s="1">
        <v>4</v>
      </c>
      <c r="G15" s="1">
        <v>8</v>
      </c>
      <c r="H15" s="1">
        <v>68</v>
      </c>
    </row>
    <row r="16" spans="1:8">
      <c r="A16" s="1" t="s">
        <v>14</v>
      </c>
      <c r="B16" s="2">
        <v>0.6869180202484131</v>
      </c>
      <c r="C16" s="1">
        <v>45</v>
      </c>
      <c r="D16" s="1">
        <v>5174</v>
      </c>
      <c r="E16" s="1">
        <v>5174</v>
      </c>
      <c r="F16" s="1">
        <v>0</v>
      </c>
      <c r="G16" s="1">
        <v>0</v>
      </c>
      <c r="H16" s="1">
        <v>45</v>
      </c>
    </row>
    <row r="17" spans="1:8">
      <c r="A17" s="1" t="s">
        <v>15</v>
      </c>
      <c r="B17" s="2">
        <v>0.2595023512840271</v>
      </c>
      <c r="C17" s="1">
        <v>17</v>
      </c>
      <c r="D17" s="1">
        <v>311</v>
      </c>
      <c r="E17" s="1">
        <v>290</v>
      </c>
      <c r="F17" s="1">
        <v>5</v>
      </c>
      <c r="G17" s="1">
        <v>16</v>
      </c>
      <c r="H17" s="1">
        <v>1</v>
      </c>
    </row>
    <row r="18" spans="1:8">
      <c r="A18" s="1" t="s">
        <v>16</v>
      </c>
      <c r="B18" s="2">
        <v>0.2442375272512436</v>
      </c>
      <c r="C18" s="1">
        <v>16</v>
      </c>
      <c r="D18" s="1">
        <v>9513</v>
      </c>
      <c r="E18" s="1">
        <v>9502</v>
      </c>
      <c r="F18" s="1">
        <v>0</v>
      </c>
      <c r="G18" s="1">
        <v>11</v>
      </c>
      <c r="H18" s="1">
        <v>5</v>
      </c>
    </row>
    <row r="19" spans="1:8">
      <c r="A19" s="1" t="s">
        <v>17</v>
      </c>
      <c r="B19" s="2">
        <v>0.2289726734161377</v>
      </c>
      <c r="C19" s="1">
        <v>15</v>
      </c>
      <c r="D19" s="1">
        <v>820</v>
      </c>
      <c r="E19" s="1">
        <v>812</v>
      </c>
      <c r="F19" s="1">
        <v>0</v>
      </c>
      <c r="G19" s="1">
        <v>8</v>
      </c>
      <c r="H19" s="1">
        <v>7</v>
      </c>
    </row>
    <row r="20" spans="1:8">
      <c r="A20" s="1" t="s">
        <v>18</v>
      </c>
      <c r="B20" s="2">
        <v>0.0610593818128109</v>
      </c>
      <c r="C20" s="1">
        <v>4</v>
      </c>
      <c r="D20" s="1">
        <v>116</v>
      </c>
      <c r="E20" s="1">
        <v>116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0.0610593818128109</v>
      </c>
      <c r="C21" s="1">
        <v>4</v>
      </c>
      <c r="D21" s="1">
        <v>792</v>
      </c>
      <c r="E21" s="1">
        <v>772</v>
      </c>
      <c r="F21" s="1">
        <v>16</v>
      </c>
      <c r="G21" s="1">
        <v>4</v>
      </c>
      <c r="H21" s="1">
        <v>0</v>
      </c>
    </row>
    <row r="22" spans="1:8">
      <c r="A22" s="1" t="s">
        <v>20</v>
      </c>
      <c r="B22" s="2">
        <v>0.03052969090640545</v>
      </c>
      <c r="C22" s="1">
        <v>2</v>
      </c>
      <c r="D22" s="1">
        <v>706</v>
      </c>
      <c r="E22" s="1">
        <v>706</v>
      </c>
      <c r="F22" s="1">
        <v>0</v>
      </c>
      <c r="G22" s="1">
        <v>0</v>
      </c>
      <c r="H22" s="1">
        <v>2</v>
      </c>
    </row>
    <row r="23" spans="1:8">
      <c r="A23" s="1" t="s">
        <v>21</v>
      </c>
      <c r="B23" s="2">
        <v>0.01526484545320272</v>
      </c>
      <c r="C23" s="1">
        <v>1</v>
      </c>
      <c r="D23" s="1">
        <v>251</v>
      </c>
      <c r="E23" s="1">
        <v>250</v>
      </c>
      <c r="F23" s="1">
        <v>0</v>
      </c>
      <c r="G23" s="1">
        <v>1</v>
      </c>
      <c r="H23" s="1">
        <v>0</v>
      </c>
    </row>
    <row r="24" spans="1:8">
      <c r="A24" s="1" t="s">
        <v>22</v>
      </c>
      <c r="B24" s="2">
        <v>0.01526484545320272</v>
      </c>
      <c r="C24" s="1">
        <v>1</v>
      </c>
      <c r="D24" s="1">
        <v>116</v>
      </c>
      <c r="E24" s="1">
        <v>116</v>
      </c>
      <c r="F24" s="1">
        <v>0</v>
      </c>
      <c r="G24" s="1">
        <v>0</v>
      </c>
      <c r="H24" s="1">
        <v>1</v>
      </c>
    </row>
    <row r="86" spans="1:8">
      <c r="A86" t="s">
        <v>85</v>
      </c>
      <c r="B86">
        <f>SUBTOTAL(109,[ram_percent])</f>
        <v>0</v>
      </c>
      <c r="C86">
        <f>SUBTOTAL(109,[ram])</f>
        <v>0</v>
      </c>
      <c r="D86">
        <f>SUBTOTAL(109,[flash])</f>
        <v>0</v>
      </c>
      <c r="E86">
        <f>SUBTOTAL(109,[Code])</f>
        <v>0</v>
      </c>
      <c r="F86">
        <f>SUBTOTAL(109,[RO_data])</f>
        <v>0</v>
      </c>
      <c r="G86">
        <f>SUBTOTAL(109,[RW_data])</f>
        <v>0</v>
      </c>
      <c r="H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84</v>
      </c>
      <c r="B2" t="s">
        <v>93</v>
      </c>
      <c r="C2" t="s">
        <v>88</v>
      </c>
      <c r="D2" t="s">
        <v>87</v>
      </c>
      <c r="E2" t="s">
        <v>89</v>
      </c>
      <c r="F2" t="s">
        <v>90</v>
      </c>
      <c r="G2" t="s">
        <v>91</v>
      </c>
      <c r="H2" t="s">
        <v>92</v>
      </c>
    </row>
    <row r="3" spans="1:8">
      <c r="A3" s="1" t="s">
        <v>16</v>
      </c>
      <c r="B3" s="2">
        <v>16.9409122467041</v>
      </c>
      <c r="C3" s="1">
        <v>9513</v>
      </c>
      <c r="D3" s="1">
        <v>16</v>
      </c>
      <c r="E3" s="1">
        <v>9502</v>
      </c>
      <c r="F3" s="1">
        <v>0</v>
      </c>
      <c r="G3" s="1">
        <v>11</v>
      </c>
      <c r="H3" s="1">
        <v>5</v>
      </c>
    </row>
    <row r="4" spans="1:8">
      <c r="A4" s="1" t="s">
        <v>10</v>
      </c>
      <c r="B4" s="2">
        <v>12.71503353118897</v>
      </c>
      <c r="C4" s="1">
        <v>7140</v>
      </c>
      <c r="D4" s="1">
        <v>140</v>
      </c>
      <c r="E4" s="1">
        <v>7040</v>
      </c>
      <c r="F4" s="1">
        <v>0</v>
      </c>
      <c r="G4" s="1">
        <v>100</v>
      </c>
      <c r="H4" s="1">
        <v>40</v>
      </c>
    </row>
    <row r="5" spans="1:8">
      <c r="A5" s="1" t="s">
        <v>14</v>
      </c>
      <c r="B5" s="2">
        <v>9.213947296142578</v>
      </c>
      <c r="C5" s="1">
        <v>5174</v>
      </c>
      <c r="D5" s="1">
        <v>45</v>
      </c>
      <c r="E5" s="1">
        <v>5174</v>
      </c>
      <c r="F5" s="1">
        <v>0</v>
      </c>
      <c r="G5" s="1">
        <v>0</v>
      </c>
      <c r="H5" s="1">
        <v>45</v>
      </c>
    </row>
    <row r="6" spans="1:8">
      <c r="A6" s="1" t="s">
        <v>7</v>
      </c>
      <c r="B6" s="2">
        <v>9.171207427978516</v>
      </c>
      <c r="C6" s="1">
        <v>5150</v>
      </c>
      <c r="D6" s="1">
        <v>194</v>
      </c>
      <c r="E6" s="1">
        <v>4980</v>
      </c>
      <c r="F6" s="1">
        <v>0</v>
      </c>
      <c r="G6" s="1">
        <v>170</v>
      </c>
      <c r="H6" s="1">
        <v>24</v>
      </c>
    </row>
    <row r="7" spans="1:8">
      <c r="A7" s="1" t="s">
        <v>12</v>
      </c>
      <c r="B7" s="2">
        <v>3.41560697555542</v>
      </c>
      <c r="C7" s="1">
        <v>1918</v>
      </c>
      <c r="D7" s="1">
        <v>103</v>
      </c>
      <c r="E7" s="1">
        <v>1816</v>
      </c>
      <c r="F7" s="1">
        <v>0</v>
      </c>
      <c r="G7" s="1">
        <v>102</v>
      </c>
      <c r="H7" s="1">
        <v>1</v>
      </c>
    </row>
    <row r="8" spans="1:8">
      <c r="A8" s="1" t="s">
        <v>23</v>
      </c>
      <c r="B8" s="2">
        <v>3.397799015045166</v>
      </c>
      <c r="C8" s="1">
        <v>1908</v>
      </c>
      <c r="D8" s="1">
        <v>0</v>
      </c>
      <c r="E8" s="1">
        <v>1908</v>
      </c>
      <c r="F8" s="1">
        <v>0</v>
      </c>
      <c r="G8" s="1">
        <v>0</v>
      </c>
      <c r="H8" s="1">
        <v>0</v>
      </c>
    </row>
    <row r="9" spans="1:8">
      <c r="A9" s="1" t="s">
        <v>24</v>
      </c>
      <c r="B9" s="2">
        <v>3.084375143051148</v>
      </c>
      <c r="C9" s="1">
        <v>1732</v>
      </c>
      <c r="D9" s="1">
        <v>0</v>
      </c>
      <c r="E9" s="1">
        <v>1692</v>
      </c>
      <c r="F9" s="1">
        <v>40</v>
      </c>
      <c r="G9" s="1">
        <v>0</v>
      </c>
      <c r="H9" s="1">
        <v>0</v>
      </c>
    </row>
    <row r="10" spans="1:8">
      <c r="A10" s="1" t="s">
        <v>2</v>
      </c>
      <c r="B10" s="2">
        <v>3.023827314376831</v>
      </c>
      <c r="C10" s="1">
        <v>1698</v>
      </c>
      <c r="D10" s="1">
        <v>1188</v>
      </c>
      <c r="E10" s="1">
        <v>1674</v>
      </c>
      <c r="F10" s="1">
        <v>24</v>
      </c>
      <c r="G10" s="1">
        <v>0</v>
      </c>
      <c r="H10" s="1">
        <v>1188</v>
      </c>
    </row>
    <row r="11" spans="1:8">
      <c r="A11" s="1" t="s">
        <v>8</v>
      </c>
      <c r="B11" s="2">
        <v>2.738896608352661</v>
      </c>
      <c r="C11" s="1">
        <v>1538</v>
      </c>
      <c r="D11" s="1">
        <v>171</v>
      </c>
      <c r="E11" s="1">
        <v>1370</v>
      </c>
      <c r="F11" s="1">
        <v>0</v>
      </c>
      <c r="G11" s="1">
        <v>168</v>
      </c>
      <c r="H11" s="1">
        <v>3</v>
      </c>
    </row>
    <row r="12" spans="1:8">
      <c r="A12" s="1" t="s">
        <v>25</v>
      </c>
      <c r="B12" s="2">
        <v>2.361363410949707</v>
      </c>
      <c r="C12" s="1">
        <v>1326</v>
      </c>
      <c r="D12" s="1">
        <v>0</v>
      </c>
      <c r="E12" s="1">
        <v>1326</v>
      </c>
      <c r="F12" s="1">
        <v>0</v>
      </c>
      <c r="G12" s="1">
        <v>0</v>
      </c>
      <c r="H12" s="1">
        <v>0</v>
      </c>
    </row>
    <row r="13" spans="1:8">
      <c r="A13" s="1" t="s">
        <v>6</v>
      </c>
      <c r="B13" s="2">
        <v>2.001638412475586</v>
      </c>
      <c r="C13" s="1">
        <v>1124</v>
      </c>
      <c r="D13" s="1">
        <v>220</v>
      </c>
      <c r="E13" s="1">
        <v>1124</v>
      </c>
      <c r="F13" s="1">
        <v>0</v>
      </c>
      <c r="G13" s="1">
        <v>0</v>
      </c>
      <c r="H13" s="1">
        <v>220</v>
      </c>
    </row>
    <row r="14" spans="1:8">
      <c r="A14" s="1" t="s">
        <v>13</v>
      </c>
      <c r="B14" s="2">
        <v>1.930405616760254</v>
      </c>
      <c r="C14" s="1">
        <v>1084</v>
      </c>
      <c r="D14" s="1">
        <v>76</v>
      </c>
      <c r="E14" s="1">
        <v>1072</v>
      </c>
      <c r="F14" s="1">
        <v>4</v>
      </c>
      <c r="G14" s="1">
        <v>8</v>
      </c>
      <c r="H14" s="1">
        <v>68</v>
      </c>
    </row>
    <row r="15" spans="1:8">
      <c r="A15" s="1" t="s">
        <v>1</v>
      </c>
      <c r="B15" s="2">
        <v>1.926844000816345</v>
      </c>
      <c r="C15" s="1">
        <v>1082</v>
      </c>
      <c r="D15" s="1">
        <v>2228</v>
      </c>
      <c r="E15" s="1">
        <v>1082</v>
      </c>
      <c r="F15" s="1">
        <v>0</v>
      </c>
      <c r="G15" s="1">
        <v>0</v>
      </c>
      <c r="H15" s="1">
        <v>2228</v>
      </c>
    </row>
    <row r="16" spans="1:8">
      <c r="A16" s="1" t="s">
        <v>26</v>
      </c>
      <c r="B16" s="2">
        <v>1.624105095863342</v>
      </c>
      <c r="C16" s="1">
        <v>912</v>
      </c>
      <c r="D16" s="1">
        <v>0</v>
      </c>
      <c r="E16" s="1">
        <v>912</v>
      </c>
      <c r="F16" s="1">
        <v>0</v>
      </c>
      <c r="G16" s="1">
        <v>0</v>
      </c>
      <c r="H16" s="1">
        <v>0</v>
      </c>
    </row>
    <row r="17" spans="1:8">
      <c r="A17" s="1" t="s">
        <v>17</v>
      </c>
      <c r="B17" s="2">
        <v>1.460269927978516</v>
      </c>
      <c r="C17" s="1">
        <v>820</v>
      </c>
      <c r="D17" s="1">
        <v>15</v>
      </c>
      <c r="E17" s="1">
        <v>812</v>
      </c>
      <c r="F17" s="1">
        <v>0</v>
      </c>
      <c r="G17" s="1">
        <v>8</v>
      </c>
      <c r="H17" s="1">
        <v>7</v>
      </c>
    </row>
    <row r="18" spans="1:8">
      <c r="A18" s="1" t="s">
        <v>19</v>
      </c>
      <c r="B18" s="2">
        <v>1.410407066345215</v>
      </c>
      <c r="C18" s="1">
        <v>792</v>
      </c>
      <c r="D18" s="1">
        <v>4</v>
      </c>
      <c r="E18" s="1">
        <v>772</v>
      </c>
      <c r="F18" s="1">
        <v>16</v>
      </c>
      <c r="G18" s="1">
        <v>4</v>
      </c>
      <c r="H18" s="1">
        <v>0</v>
      </c>
    </row>
    <row r="19" spans="1:8">
      <c r="A19" s="1" t="s">
        <v>4</v>
      </c>
      <c r="B19" s="2">
        <v>1.405064702033997</v>
      </c>
      <c r="C19" s="1">
        <v>789</v>
      </c>
      <c r="D19" s="1">
        <v>538</v>
      </c>
      <c r="E19" s="1">
        <v>788</v>
      </c>
      <c r="F19" s="1">
        <v>0</v>
      </c>
      <c r="G19" s="1">
        <v>1</v>
      </c>
      <c r="H19" s="1">
        <v>537</v>
      </c>
    </row>
    <row r="20" spans="1:8">
      <c r="A20" s="1" t="s">
        <v>27</v>
      </c>
      <c r="B20" s="2">
        <v>1.342736005783081</v>
      </c>
      <c r="C20" s="1">
        <v>754</v>
      </c>
      <c r="D20" s="1">
        <v>0</v>
      </c>
      <c r="E20" s="1">
        <v>754</v>
      </c>
      <c r="F20" s="1">
        <v>0</v>
      </c>
      <c r="G20" s="1">
        <v>0</v>
      </c>
      <c r="H20" s="1">
        <v>0</v>
      </c>
    </row>
    <row r="21" spans="1:8">
      <c r="A21" s="1" t="s">
        <v>28</v>
      </c>
      <c r="B21" s="2">
        <v>1.321366190910339</v>
      </c>
      <c r="C21" s="1">
        <v>742</v>
      </c>
      <c r="D21" s="1">
        <v>0</v>
      </c>
      <c r="E21" s="1">
        <v>742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1.257256865501404</v>
      </c>
      <c r="C22" s="1">
        <v>706</v>
      </c>
      <c r="D22" s="1">
        <v>2</v>
      </c>
      <c r="E22" s="1">
        <v>706</v>
      </c>
      <c r="F22" s="1">
        <v>0</v>
      </c>
      <c r="G22" s="1">
        <v>0</v>
      </c>
      <c r="H22" s="1">
        <v>2</v>
      </c>
    </row>
    <row r="23" spans="1:8">
      <c r="A23" s="1" t="s">
        <v>29</v>
      </c>
      <c r="B23" s="2">
        <v>1.207394003868103</v>
      </c>
      <c r="C23" s="1">
        <v>678</v>
      </c>
      <c r="D23" s="1">
        <v>0</v>
      </c>
      <c r="E23" s="1">
        <v>678</v>
      </c>
      <c r="F23" s="1">
        <v>0</v>
      </c>
      <c r="G23" s="1">
        <v>0</v>
      </c>
      <c r="H23" s="1">
        <v>0</v>
      </c>
    </row>
    <row r="24" spans="1:8">
      <c r="A24" s="1" t="s">
        <v>30</v>
      </c>
      <c r="B24" s="2">
        <v>1.072051882743835</v>
      </c>
      <c r="C24" s="1">
        <v>602</v>
      </c>
      <c r="D24" s="1">
        <v>0</v>
      </c>
      <c r="E24" s="1">
        <v>602</v>
      </c>
      <c r="F24" s="1">
        <v>0</v>
      </c>
      <c r="G24" s="1">
        <v>0</v>
      </c>
      <c r="H24" s="1">
        <v>0</v>
      </c>
    </row>
    <row r="25" spans="1:8">
      <c r="A25" s="1" t="s">
        <v>31</v>
      </c>
      <c r="B25" s="2">
        <v>0.9936959147453308</v>
      </c>
      <c r="C25" s="1">
        <v>558</v>
      </c>
      <c r="D25" s="1">
        <v>0</v>
      </c>
      <c r="E25" s="1">
        <v>558</v>
      </c>
      <c r="F25" s="1">
        <v>0</v>
      </c>
      <c r="G25" s="1">
        <v>0</v>
      </c>
      <c r="H25" s="1">
        <v>0</v>
      </c>
    </row>
    <row r="26" spans="1:8">
      <c r="A26" s="1" t="s">
        <v>32</v>
      </c>
      <c r="B26" s="2">
        <v>0.9224632382392883</v>
      </c>
      <c r="C26" s="1">
        <v>518</v>
      </c>
      <c r="D26" s="1">
        <v>0</v>
      </c>
      <c r="E26" s="1">
        <v>518</v>
      </c>
      <c r="F26" s="1">
        <v>0</v>
      </c>
      <c r="G26" s="1">
        <v>0</v>
      </c>
      <c r="H26" s="1">
        <v>0</v>
      </c>
    </row>
    <row r="27" spans="1:8">
      <c r="A27" s="1" t="s">
        <v>33</v>
      </c>
      <c r="B27" s="2">
        <v>0.8975318074226379</v>
      </c>
      <c r="C27" s="1">
        <v>504</v>
      </c>
      <c r="D27" s="1">
        <v>0</v>
      </c>
      <c r="E27" s="1">
        <v>504</v>
      </c>
      <c r="F27" s="1">
        <v>0</v>
      </c>
      <c r="G27" s="1">
        <v>0</v>
      </c>
      <c r="H27" s="1">
        <v>0</v>
      </c>
    </row>
    <row r="28" spans="1:8">
      <c r="A28" s="1" t="s">
        <v>11</v>
      </c>
      <c r="B28" s="2">
        <v>0.8334223628044128</v>
      </c>
      <c r="C28" s="1">
        <v>468</v>
      </c>
      <c r="D28" s="1">
        <v>132</v>
      </c>
      <c r="E28" s="1">
        <v>468</v>
      </c>
      <c r="F28" s="1">
        <v>0</v>
      </c>
      <c r="G28" s="1">
        <v>0</v>
      </c>
      <c r="H28" s="1">
        <v>132</v>
      </c>
    </row>
    <row r="29" spans="1:8">
      <c r="A29" s="1" t="s">
        <v>34</v>
      </c>
      <c r="B29" s="2">
        <v>0.8262991309165955</v>
      </c>
      <c r="C29" s="1">
        <v>464</v>
      </c>
      <c r="D29" s="1">
        <v>0</v>
      </c>
      <c r="E29" s="1">
        <v>464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0.7693129777908325</v>
      </c>
      <c r="C30" s="1">
        <v>432</v>
      </c>
      <c r="D30" s="1">
        <v>0</v>
      </c>
      <c r="E30" s="1">
        <v>432</v>
      </c>
      <c r="F30" s="1">
        <v>0</v>
      </c>
      <c r="G30" s="1">
        <v>0</v>
      </c>
      <c r="H30" s="1">
        <v>0</v>
      </c>
    </row>
    <row r="31" spans="1:8">
      <c r="A31" s="1" t="s">
        <v>3</v>
      </c>
      <c r="B31" s="2">
        <v>0.719450056552887</v>
      </c>
      <c r="C31" s="1">
        <v>404</v>
      </c>
      <c r="D31" s="1">
        <v>1024</v>
      </c>
      <c r="E31" s="1">
        <v>36</v>
      </c>
      <c r="F31" s="1">
        <v>368</v>
      </c>
      <c r="G31" s="1">
        <v>0</v>
      </c>
      <c r="H31" s="1">
        <v>1024</v>
      </c>
    </row>
    <row r="32" spans="1:8">
      <c r="A32" s="1" t="s">
        <v>5</v>
      </c>
      <c r="B32" s="2">
        <v>0.6695871949195862</v>
      </c>
      <c r="C32" s="1">
        <v>376</v>
      </c>
      <c r="D32" s="1">
        <v>288</v>
      </c>
      <c r="E32" s="1">
        <v>376</v>
      </c>
      <c r="F32" s="1">
        <v>0</v>
      </c>
      <c r="G32" s="1">
        <v>0</v>
      </c>
      <c r="H32" s="1">
        <v>288</v>
      </c>
    </row>
    <row r="33" spans="1:8">
      <c r="A33" s="1" t="s">
        <v>9</v>
      </c>
      <c r="B33" s="2">
        <v>0.5983545184135437</v>
      </c>
      <c r="C33" s="1">
        <v>336</v>
      </c>
      <c r="D33" s="1">
        <v>144</v>
      </c>
      <c r="E33" s="1">
        <v>336</v>
      </c>
      <c r="F33" s="1">
        <v>0</v>
      </c>
      <c r="G33" s="1">
        <v>0</v>
      </c>
      <c r="H33" s="1">
        <v>144</v>
      </c>
    </row>
    <row r="34" spans="1:8">
      <c r="A34" s="1" t="s">
        <v>36</v>
      </c>
      <c r="B34" s="2">
        <v>0.594792902469635</v>
      </c>
      <c r="C34" s="1">
        <v>334</v>
      </c>
      <c r="D34" s="1">
        <v>0</v>
      </c>
      <c r="E34" s="1">
        <v>334</v>
      </c>
      <c r="F34" s="1">
        <v>0</v>
      </c>
      <c r="G34" s="1">
        <v>0</v>
      </c>
      <c r="H34" s="1">
        <v>0</v>
      </c>
    </row>
    <row r="35" spans="1:8">
      <c r="A35" s="1" t="s">
        <v>15</v>
      </c>
      <c r="B35" s="2">
        <v>0.553834080696106</v>
      </c>
      <c r="C35" s="1">
        <v>311</v>
      </c>
      <c r="D35" s="1">
        <v>17</v>
      </c>
      <c r="E35" s="1">
        <v>290</v>
      </c>
      <c r="F35" s="1">
        <v>5</v>
      </c>
      <c r="G35" s="1">
        <v>16</v>
      </c>
      <c r="H35" s="1">
        <v>1</v>
      </c>
    </row>
    <row r="36" spans="1:8">
      <c r="A36" s="1" t="s">
        <v>37</v>
      </c>
      <c r="B36" s="2">
        <v>0.4986287653446198</v>
      </c>
      <c r="C36" s="1">
        <v>280</v>
      </c>
      <c r="D36" s="1">
        <v>0</v>
      </c>
      <c r="E36" s="1">
        <v>280</v>
      </c>
      <c r="F36" s="1">
        <v>0</v>
      </c>
      <c r="G36" s="1">
        <v>0</v>
      </c>
      <c r="H36" s="1">
        <v>0</v>
      </c>
    </row>
    <row r="37" spans="1:8">
      <c r="A37" s="1" t="s">
        <v>21</v>
      </c>
      <c r="B37" s="2">
        <v>0.4469850659370422</v>
      </c>
      <c r="C37" s="1">
        <v>251</v>
      </c>
      <c r="D37" s="1">
        <v>1</v>
      </c>
      <c r="E37" s="1">
        <v>250</v>
      </c>
      <c r="F37" s="1">
        <v>0</v>
      </c>
      <c r="G37" s="1">
        <v>1</v>
      </c>
      <c r="H37" s="1">
        <v>0</v>
      </c>
    </row>
    <row r="38" spans="1:8">
      <c r="A38" s="1" t="s">
        <v>38</v>
      </c>
      <c r="B38" s="2">
        <v>0.4238344430923462</v>
      </c>
      <c r="C38" s="1">
        <v>238</v>
      </c>
      <c r="D38" s="1">
        <v>0</v>
      </c>
      <c r="E38" s="1">
        <v>238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0.4238344430923462</v>
      </c>
      <c r="C39" s="1">
        <v>238</v>
      </c>
      <c r="D39" s="1">
        <v>0</v>
      </c>
      <c r="E39" s="1">
        <v>238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0.4095879197120667</v>
      </c>
      <c r="C40" s="1">
        <v>230</v>
      </c>
      <c r="D40" s="1">
        <v>0</v>
      </c>
      <c r="E40" s="1">
        <v>230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0.4060262739658356</v>
      </c>
      <c r="C41" s="1">
        <v>228</v>
      </c>
      <c r="D41" s="1">
        <v>0</v>
      </c>
      <c r="E41" s="1">
        <v>228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0.3953413963317871</v>
      </c>
      <c r="C42" s="1">
        <v>222</v>
      </c>
      <c r="D42" s="1">
        <v>0</v>
      </c>
      <c r="E42" s="1">
        <v>222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0.3526017665863037</v>
      </c>
      <c r="C43" s="1">
        <v>198</v>
      </c>
      <c r="D43" s="1">
        <v>0</v>
      </c>
      <c r="E43" s="1">
        <v>198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0.3312319815158844</v>
      </c>
      <c r="C44" s="1">
        <v>186</v>
      </c>
      <c r="D44" s="1">
        <v>0</v>
      </c>
      <c r="E44" s="1">
        <v>186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0.3134238123893738</v>
      </c>
      <c r="C45" s="1">
        <v>176</v>
      </c>
      <c r="D45" s="1">
        <v>0</v>
      </c>
      <c r="E45" s="1">
        <v>176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0.2208213061094284</v>
      </c>
      <c r="C46" s="1">
        <v>124</v>
      </c>
      <c r="D46" s="1">
        <v>0</v>
      </c>
      <c r="E46" s="1">
        <v>124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0.2101364135742188</v>
      </c>
      <c r="C47" s="1">
        <v>118</v>
      </c>
      <c r="D47" s="1">
        <v>0</v>
      </c>
      <c r="E47" s="1">
        <v>118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0.2065747827291489</v>
      </c>
      <c r="C48" s="1">
        <v>116</v>
      </c>
      <c r="D48" s="1">
        <v>4</v>
      </c>
      <c r="E48" s="1">
        <v>116</v>
      </c>
      <c r="F48" s="1">
        <v>0</v>
      </c>
      <c r="G48" s="1">
        <v>0</v>
      </c>
      <c r="H48" s="1">
        <v>4</v>
      </c>
    </row>
    <row r="49" spans="1:8">
      <c r="A49" s="1" t="s">
        <v>22</v>
      </c>
      <c r="B49" s="2">
        <v>0.2065747827291489</v>
      </c>
      <c r="C49" s="1">
        <v>116</v>
      </c>
      <c r="D49" s="1">
        <v>1</v>
      </c>
      <c r="E49" s="1">
        <v>116</v>
      </c>
      <c r="F49" s="1">
        <v>0</v>
      </c>
      <c r="G49" s="1">
        <v>0</v>
      </c>
      <c r="H49" s="1">
        <v>1</v>
      </c>
    </row>
    <row r="50" spans="1:8">
      <c r="A50" s="1" t="s">
        <v>48</v>
      </c>
      <c r="B50" s="2">
        <v>0.195889875292778</v>
      </c>
      <c r="C50" s="1">
        <v>110</v>
      </c>
      <c r="D50" s="1">
        <v>0</v>
      </c>
      <c r="E50" s="1">
        <v>110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0.1923282444477081</v>
      </c>
      <c r="C51" s="1">
        <v>108</v>
      </c>
      <c r="D51" s="1">
        <v>0</v>
      </c>
      <c r="E51" s="1">
        <v>108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0.1780817061662674</v>
      </c>
      <c r="C52" s="1">
        <v>100</v>
      </c>
      <c r="D52" s="1">
        <v>0</v>
      </c>
      <c r="E52" s="1">
        <v>100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0.1745200753211975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0.1745200753211975</v>
      </c>
      <c r="C54" s="1">
        <v>98</v>
      </c>
      <c r="D54" s="1">
        <v>0</v>
      </c>
      <c r="E54" s="1">
        <v>98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0.1531502604484558</v>
      </c>
      <c r="C55" s="1">
        <v>86</v>
      </c>
      <c r="D55" s="1">
        <v>0</v>
      </c>
      <c r="E55" s="1">
        <v>86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0.1210955604910851</v>
      </c>
      <c r="C56" s="1">
        <v>68</v>
      </c>
      <c r="D56" s="1">
        <v>0</v>
      </c>
      <c r="E56" s="1">
        <v>68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0.09972575306892395</v>
      </c>
      <c r="C57" s="1">
        <v>56</v>
      </c>
      <c r="D57" s="1">
        <v>0</v>
      </c>
      <c r="E57" s="1">
        <v>56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0.09260248392820358</v>
      </c>
      <c r="C58" s="1">
        <v>52</v>
      </c>
      <c r="D58" s="1">
        <v>0</v>
      </c>
      <c r="E58" s="1">
        <v>52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0.0890408530831337</v>
      </c>
      <c r="C59" s="1">
        <v>50</v>
      </c>
      <c r="D59" s="1">
        <v>0</v>
      </c>
      <c r="E59" s="1">
        <v>50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0.0890408530831337</v>
      </c>
      <c r="C60" s="1">
        <v>50</v>
      </c>
      <c r="D60" s="1">
        <v>0</v>
      </c>
      <c r="E60" s="1">
        <v>50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0.0890408530831337</v>
      </c>
      <c r="C61" s="1">
        <v>50</v>
      </c>
      <c r="D61" s="1">
        <v>0</v>
      </c>
      <c r="E61" s="1">
        <v>50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0.08547921478748322</v>
      </c>
      <c r="C62" s="1">
        <v>48</v>
      </c>
      <c r="D62" s="1">
        <v>0</v>
      </c>
      <c r="E62" s="1">
        <v>48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0.07123268395662308</v>
      </c>
      <c r="C63" s="1">
        <v>40</v>
      </c>
      <c r="D63" s="1">
        <v>0</v>
      </c>
      <c r="E63" s="1">
        <v>40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0.07123268395662308</v>
      </c>
      <c r="C64" s="1">
        <v>40</v>
      </c>
      <c r="D64" s="1">
        <v>0</v>
      </c>
      <c r="E64" s="1">
        <v>40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0.0676710456609726</v>
      </c>
      <c r="C65" s="1">
        <v>38</v>
      </c>
      <c r="D65" s="1">
        <v>0</v>
      </c>
      <c r="E65" s="1">
        <v>38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0.06410941481590271</v>
      </c>
      <c r="C66" s="1">
        <v>36</v>
      </c>
      <c r="D66" s="1">
        <v>0</v>
      </c>
      <c r="E66" s="1">
        <v>36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0.06410941481590271</v>
      </c>
      <c r="C67" s="1">
        <v>36</v>
      </c>
      <c r="D67" s="1">
        <v>0</v>
      </c>
      <c r="E67" s="1">
        <v>36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0.05698614567518234</v>
      </c>
      <c r="C68" s="1">
        <v>32</v>
      </c>
      <c r="D68" s="1">
        <v>0</v>
      </c>
      <c r="E68" s="1">
        <v>32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0.05342451110482216</v>
      </c>
      <c r="C69" s="1">
        <v>30</v>
      </c>
      <c r="D69" s="1">
        <v>0</v>
      </c>
      <c r="E69" s="1">
        <v>30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0.05342451110482216</v>
      </c>
      <c r="C70" s="1">
        <v>30</v>
      </c>
      <c r="D70" s="1">
        <v>0</v>
      </c>
      <c r="E70" s="1">
        <v>30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0.04986287653446198</v>
      </c>
      <c r="C71" s="1">
        <v>28</v>
      </c>
      <c r="D71" s="1">
        <v>0</v>
      </c>
      <c r="E71" s="1">
        <v>28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0.04986287653446198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0.04986287653446198</v>
      </c>
      <c r="C73" s="1">
        <v>28</v>
      </c>
      <c r="D73" s="1">
        <v>0</v>
      </c>
      <c r="E73" s="1">
        <v>28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0.04986287653446198</v>
      </c>
      <c r="C74" s="1">
        <v>28</v>
      </c>
      <c r="D74" s="1">
        <v>0</v>
      </c>
      <c r="E74" s="1">
        <v>28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0.04986287653446198</v>
      </c>
      <c r="C75" s="1">
        <v>28</v>
      </c>
      <c r="D75" s="1">
        <v>0</v>
      </c>
      <c r="E75" s="1">
        <v>28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0.04986287653446198</v>
      </c>
      <c r="C76" s="1">
        <v>28</v>
      </c>
      <c r="D76" s="1">
        <v>0</v>
      </c>
      <c r="E76" s="1">
        <v>28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0.04630124196410179</v>
      </c>
      <c r="C77" s="1">
        <v>26</v>
      </c>
      <c r="D77" s="1">
        <v>0</v>
      </c>
      <c r="E77" s="1">
        <v>26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0.04630124196410179</v>
      </c>
      <c r="C78" s="1">
        <v>26</v>
      </c>
      <c r="D78" s="1">
        <v>0</v>
      </c>
      <c r="E78" s="1">
        <v>26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0.03205470740795136</v>
      </c>
      <c r="C79" s="1">
        <v>18</v>
      </c>
      <c r="D79" s="1">
        <v>0</v>
      </c>
      <c r="E79" s="1">
        <v>18</v>
      </c>
      <c r="F79" s="1">
        <v>0</v>
      </c>
      <c r="G79" s="1">
        <v>0</v>
      </c>
      <c r="H79" s="1">
        <v>0</v>
      </c>
    </row>
    <row r="80" spans="1:8">
      <c r="A80" s="1" t="s">
        <v>78</v>
      </c>
      <c r="B80" s="2">
        <v>0.03205470740795136</v>
      </c>
      <c r="C80" s="1">
        <v>18</v>
      </c>
      <c r="D80" s="1">
        <v>0</v>
      </c>
      <c r="E80" s="1">
        <v>18</v>
      </c>
      <c r="F80" s="1">
        <v>0</v>
      </c>
      <c r="G80" s="1">
        <v>0</v>
      </c>
      <c r="H80" s="1">
        <v>0</v>
      </c>
    </row>
    <row r="81" spans="1:8">
      <c r="A81" s="1" t="s">
        <v>79</v>
      </c>
      <c r="B81" s="2">
        <v>0.01780817098915577</v>
      </c>
      <c r="C81" s="1">
        <v>10</v>
      </c>
      <c r="D81" s="1">
        <v>0</v>
      </c>
      <c r="E81" s="1">
        <v>10</v>
      </c>
      <c r="F81" s="1">
        <v>0</v>
      </c>
      <c r="G81" s="1">
        <v>0</v>
      </c>
      <c r="H81" s="1">
        <v>0</v>
      </c>
    </row>
    <row r="82" spans="1:8">
      <c r="A82" s="1" t="s">
        <v>80</v>
      </c>
      <c r="B82" s="2">
        <v>0.01424653641879559</v>
      </c>
      <c r="C82" s="1">
        <v>8</v>
      </c>
      <c r="D82" s="1">
        <v>0</v>
      </c>
      <c r="E82" s="1">
        <v>8</v>
      </c>
      <c r="F82" s="1">
        <v>0</v>
      </c>
      <c r="G82" s="1">
        <v>0</v>
      </c>
      <c r="H82" s="1">
        <v>0</v>
      </c>
    </row>
    <row r="83" spans="1:8">
      <c r="A83" s="1" t="s">
        <v>81</v>
      </c>
      <c r="B83" s="2">
        <v>0.01424653641879559</v>
      </c>
      <c r="C83" s="1">
        <v>8</v>
      </c>
      <c r="D83" s="1">
        <v>0</v>
      </c>
      <c r="E83" s="1">
        <v>8</v>
      </c>
      <c r="F83" s="1">
        <v>0</v>
      </c>
      <c r="G83" s="1">
        <v>0</v>
      </c>
      <c r="H83" s="1">
        <v>0</v>
      </c>
    </row>
    <row r="84" spans="1:8">
      <c r="A84" s="1" t="s">
        <v>82</v>
      </c>
      <c r="B84" s="2">
        <v>0.007123268209397793</v>
      </c>
      <c r="C84" s="1">
        <v>4</v>
      </c>
      <c r="D84" s="1">
        <v>0</v>
      </c>
      <c r="E84" s="1">
        <v>4</v>
      </c>
      <c r="F84" s="1">
        <v>0</v>
      </c>
      <c r="G84" s="1">
        <v>0</v>
      </c>
      <c r="H84" s="1">
        <v>0</v>
      </c>
    </row>
    <row r="85" spans="1:8">
      <c r="A85" s="1" t="s">
        <v>83</v>
      </c>
      <c r="B85" s="2">
        <v>0.007123268209397793</v>
      </c>
      <c r="C85" s="1">
        <v>4</v>
      </c>
      <c r="D85" s="1">
        <v>0</v>
      </c>
      <c r="E85" s="1">
        <v>4</v>
      </c>
      <c r="F85" s="1">
        <v>0</v>
      </c>
      <c r="G85" s="1">
        <v>0</v>
      </c>
      <c r="H85" s="1">
        <v>0</v>
      </c>
    </row>
    <row r="86" spans="1:8">
      <c r="A86" t="s">
        <v>85</v>
      </c>
      <c r="B86">
        <f>SUBTOTAL(109,[flash_percent])</f>
        <v>0</v>
      </c>
      <c r="C86">
        <f>SUBTOTAL(109,[flash])</f>
        <v>0</v>
      </c>
      <c r="D86">
        <f>SUBTOTAL(109,[ram])</f>
        <v>0</v>
      </c>
      <c r="E86">
        <f>SUBTOTAL(109,[Code])</f>
        <v>0</v>
      </c>
      <c r="F86">
        <f>SUBTOTAL(109,[RO_data])</f>
        <v>0</v>
      </c>
      <c r="G86">
        <f>SUBTOTAL(109,[RW_data])</f>
        <v>0</v>
      </c>
      <c r="H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2026-06-06T02:10:20Z</dcterms:created>
  <dcterms:modified xsi:type="dcterms:W3CDTF">2026-06-06T02:10:20Z</dcterms:modified>
</cp:coreProperties>
</file>